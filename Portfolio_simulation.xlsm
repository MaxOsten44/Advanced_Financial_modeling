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amne\Downloads\"/>
    </mc:Choice>
  </mc:AlternateContent>
  <xr:revisionPtr revIDLastSave="0" documentId="8_{B42A09FB-E786-4E1F-8EE9-93C97DBE6B76}" xr6:coauthVersionLast="47" xr6:coauthVersionMax="47" xr10:uidLastSave="{00000000-0000-0000-0000-000000000000}"/>
  <bookViews>
    <workbookView xWindow="-120" yWindow="-120" windowWidth="29040" windowHeight="16440" xr2:uid="{2F2F5060-C54F-490A-8DA4-B25F4B3D39E8}"/>
  </bookViews>
  <sheets>
    <sheet name="Model1" sheetId="1" r:id="rId1"/>
    <sheet name="Model2" sheetId="2" r:id="rId2"/>
    <sheet name="Model3" sheetId="6" r:id="rId3"/>
    <sheet name="Student Score Report" sheetId="7" r:id="rId4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44471.6540509259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rngAllOutput">Model2!$Q$23:$Q$1022</definedName>
    <definedName name="rngHorizon">Model2!$N$56</definedName>
    <definedName name="rngOutput">Model2!$Q$23</definedName>
    <definedName name="solver_adj" localSheetId="2" hidden="1">Model3!$G$71:$G$80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Model3!$G$71:$G$80</definedName>
    <definedName name="solver_lhs10" localSheetId="2" hidden="1">Model3!$G$75</definedName>
    <definedName name="solver_lhs11" localSheetId="2" hidden="1">Model3!$G$76</definedName>
    <definedName name="solver_lhs12" localSheetId="2" hidden="1">Model3!$G$76</definedName>
    <definedName name="solver_lhs13" localSheetId="2" hidden="1">Model3!$G$77</definedName>
    <definedName name="solver_lhs14" localSheetId="2" hidden="1">Model3!$G$77</definedName>
    <definedName name="solver_lhs15" localSheetId="2" hidden="1">Model3!$G$78</definedName>
    <definedName name="solver_lhs16" localSheetId="2" hidden="1">Model3!$G$78</definedName>
    <definedName name="solver_lhs17" localSheetId="2" hidden="1">Model3!$G$81</definedName>
    <definedName name="solver_lhs2" localSheetId="2" hidden="1">Model3!$G$71:$G$80</definedName>
    <definedName name="solver_lhs3" localSheetId="2" hidden="1">Model3!$G$81</definedName>
    <definedName name="solver_lhs4" localSheetId="2" hidden="1">Model3!$G$72</definedName>
    <definedName name="solver_lhs5" localSheetId="2" hidden="1">Model3!$G$73</definedName>
    <definedName name="solver_lhs6" localSheetId="2" hidden="1">Model3!$G$73</definedName>
    <definedName name="solver_lhs7" localSheetId="2" hidden="1">Model3!$G$74</definedName>
    <definedName name="solver_lhs8" localSheetId="2" hidden="1">Model3!$G$74</definedName>
    <definedName name="solver_lhs9" localSheetId="2" hidden="1">Model3!$G$75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3</definedName>
    <definedName name="solver_nwt" localSheetId="2" hidden="1">1</definedName>
    <definedName name="solver_opt" localSheetId="2" hidden="1">Model3!$J$88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3</definedName>
    <definedName name="solver_rel11" localSheetId="2" hidden="1">1</definedName>
    <definedName name="solver_rel12" localSheetId="2" hidden="1">3</definedName>
    <definedName name="solver_rel13" localSheetId="2" hidden="1">1</definedName>
    <definedName name="solver_rel14" localSheetId="2" hidden="1">3</definedName>
    <definedName name="solver_rel15" localSheetId="2" hidden="1">1</definedName>
    <definedName name="solver_rel16" localSheetId="2" hidden="1">3</definedName>
    <definedName name="solver_rel17" localSheetId="2" hidden="1">2</definedName>
    <definedName name="solver_rel2" localSheetId="2" hidden="1">3</definedName>
    <definedName name="solver_rel3" localSheetId="2" hidden="1">2</definedName>
    <definedName name="solver_rel4" localSheetId="2" hidden="1">3</definedName>
    <definedName name="solver_rel5" localSheetId="2" hidden="1">1</definedName>
    <definedName name="solver_rel6" localSheetId="2" hidden="1">3</definedName>
    <definedName name="solver_rel7" localSheetId="2" hidden="1">1</definedName>
    <definedName name="solver_rel8" localSheetId="2" hidden="1">3</definedName>
    <definedName name="solver_rel9" localSheetId="2" hidden="1">1</definedName>
    <definedName name="solver_rhs1" localSheetId="2" hidden="1">Model3!$K$71:$K$80</definedName>
    <definedName name="solver_rhs10" localSheetId="2" hidden="1">Model3!$J$75</definedName>
    <definedName name="solver_rhs11" localSheetId="2" hidden="1">Model3!$K$76</definedName>
    <definedName name="solver_rhs12" localSheetId="2" hidden="1">Model3!$J$76</definedName>
    <definedName name="solver_rhs13" localSheetId="2" hidden="1">Model3!$K$77</definedName>
    <definedName name="solver_rhs14" localSheetId="2" hidden="1">Model3!$J$77</definedName>
    <definedName name="solver_rhs15" localSheetId="2" hidden="1">Model3!$K$78</definedName>
    <definedName name="solver_rhs16" localSheetId="2" hidden="1">Model3!$J$78</definedName>
    <definedName name="solver_rhs17" localSheetId="2" hidden="1">Model3!$J$81</definedName>
    <definedName name="solver_rhs2" localSheetId="2" hidden="1">Model3!$J$71:$J$80</definedName>
    <definedName name="solver_rhs3" localSheetId="2" hidden="1">Model3!$J$81</definedName>
    <definedName name="solver_rhs4" localSheetId="2" hidden="1">Model3!$J$72</definedName>
    <definedName name="solver_rhs5" localSheetId="2" hidden="1">Model3!$K$73</definedName>
    <definedName name="solver_rhs6" localSheetId="2" hidden="1">Model3!$J$73</definedName>
    <definedName name="solver_rhs7" localSheetId="2" hidden="1">Model3!$K$74</definedName>
    <definedName name="solver_rhs8" localSheetId="2" hidden="1">Model3!$J$74</definedName>
    <definedName name="solver_rhs9" localSheetId="2" hidden="1">Model3!$K$75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2.106</definedName>
    <definedName name="solver_ver" localSheetId="2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" l="1" a="1"/>
  <c r="E18" i="1" s="1"/>
  <c r="F18" i="1" s="1"/>
  <c r="G18" i="1" s="1"/>
  <c r="H18" i="1" s="1"/>
  <c r="J86" i="6" a="1"/>
  <c r="J86" i="6"/>
  <c r="J18" i="6" a="1"/>
  <c r="J18" i="6"/>
  <c r="P45" i="6"/>
  <c r="O45" i="6"/>
  <c r="N45" i="6"/>
  <c r="M45" i="6"/>
  <c r="L45" i="6"/>
  <c r="K45" i="6"/>
  <c r="J45" i="6"/>
  <c r="I45" i="6"/>
  <c r="H45" i="6"/>
  <c r="G45" i="6"/>
  <c r="P46" i="6"/>
  <c r="O46" i="6"/>
  <c r="N46" i="6"/>
  <c r="M46" i="6"/>
  <c r="L46" i="6"/>
  <c r="K46" i="6"/>
  <c r="J46" i="6"/>
  <c r="I46" i="6"/>
  <c r="H46" i="6"/>
  <c r="G46" i="6"/>
  <c r="P44" i="6"/>
  <c r="O44" i="6"/>
  <c r="N44" i="6"/>
  <c r="M44" i="6"/>
  <c r="L44" i="6"/>
  <c r="K44" i="6"/>
  <c r="J44" i="6"/>
  <c r="I44" i="6"/>
  <c r="H44" i="6"/>
  <c r="G44" i="6"/>
  <c r="P43" i="6"/>
  <c r="O43" i="6"/>
  <c r="N43" i="6"/>
  <c r="M43" i="6"/>
  <c r="L43" i="6"/>
  <c r="K43" i="6"/>
  <c r="J43" i="6"/>
  <c r="I43" i="6"/>
  <c r="H43" i="6"/>
  <c r="G43" i="6"/>
  <c r="P42" i="6"/>
  <c r="O42" i="6"/>
  <c r="N42" i="6"/>
  <c r="M42" i="6"/>
  <c r="L42" i="6"/>
  <c r="K42" i="6"/>
  <c r="J42" i="6"/>
  <c r="I42" i="6"/>
  <c r="H42" i="6"/>
  <c r="G42" i="6"/>
  <c r="P41" i="6"/>
  <c r="O41" i="6"/>
  <c r="N41" i="6"/>
  <c r="M41" i="6"/>
  <c r="L41" i="6"/>
  <c r="K41" i="6"/>
  <c r="J41" i="6"/>
  <c r="I41" i="6"/>
  <c r="H41" i="6"/>
  <c r="G41" i="6"/>
  <c r="P40" i="6"/>
  <c r="O40" i="6"/>
  <c r="N40" i="6"/>
  <c r="M40" i="6"/>
  <c r="L40" i="6"/>
  <c r="K40" i="6"/>
  <c r="J40" i="6"/>
  <c r="I40" i="6"/>
  <c r="H40" i="6"/>
  <c r="G40" i="6"/>
  <c r="P39" i="6"/>
  <c r="O39" i="6"/>
  <c r="N39" i="6"/>
  <c r="M39" i="6"/>
  <c r="L39" i="6"/>
  <c r="K39" i="6"/>
  <c r="J39" i="6"/>
  <c r="I39" i="6"/>
  <c r="H39" i="6"/>
  <c r="G39" i="6"/>
  <c r="P38" i="6"/>
  <c r="O38" i="6"/>
  <c r="N38" i="6"/>
  <c r="M38" i="6"/>
  <c r="L38" i="6"/>
  <c r="K38" i="6"/>
  <c r="J38" i="6"/>
  <c r="I38" i="6"/>
  <c r="H38" i="6"/>
  <c r="G38" i="6"/>
  <c r="H37" i="6"/>
  <c r="I37" i="6"/>
  <c r="J37" i="6"/>
  <c r="K37" i="6"/>
  <c r="L37" i="6"/>
  <c r="M37" i="6"/>
  <c r="N37" i="6"/>
  <c r="O37" i="6"/>
  <c r="P37" i="6"/>
  <c r="G37" i="6"/>
  <c r="J17" i="6"/>
  <c r="J85" i="6"/>
  <c r="I47" i="2"/>
  <c r="I48" i="2" s="1"/>
  <c r="I49" i="2" s="1"/>
  <c r="J47" i="2"/>
  <c r="J48" i="2" s="1"/>
  <c r="J49" i="2" s="1"/>
  <c r="K47" i="2"/>
  <c r="K48" i="2" s="1"/>
  <c r="K49" i="2" s="1"/>
  <c r="L47" i="2"/>
  <c r="L48" i="2" s="1"/>
  <c r="L49" i="2" s="1"/>
  <c r="M47" i="2"/>
  <c r="M48" i="2" s="1"/>
  <c r="M49" i="2" s="1"/>
  <c r="N47" i="2"/>
  <c r="N48" i="2" s="1"/>
  <c r="N49" i="2" s="1"/>
  <c r="H47" i="2"/>
  <c r="H48" i="2" s="1"/>
  <c r="H49" i="2" s="1"/>
  <c r="H24" i="2"/>
  <c r="H25" i="2" s="1"/>
  <c r="H26" i="2" s="1"/>
  <c r="H29" i="2" s="1"/>
  <c r="I24" i="2"/>
  <c r="I25" i="2" s="1"/>
  <c r="I26" i="2" s="1"/>
  <c r="J24" i="2"/>
  <c r="J25" i="2" s="1"/>
  <c r="J26" i="2" s="1"/>
  <c r="K24" i="2"/>
  <c r="K25" i="2" s="1"/>
  <c r="K26" i="2" s="1"/>
  <c r="L24" i="2"/>
  <c r="L25" i="2" s="1"/>
  <c r="L26" i="2" s="1"/>
  <c r="M24" i="2"/>
  <c r="M25" i="2"/>
  <c r="M26" i="2" s="1"/>
  <c r="N24" i="2"/>
  <c r="N25" i="2" s="1"/>
  <c r="N26" i="2" s="1"/>
  <c r="G49" i="6" a="1"/>
  <c r="G49" i="6"/>
  <c r="L18" i="1"/>
  <c r="G81" i="6"/>
  <c r="I71" i="6" a="1"/>
  <c r="I71" i="6"/>
  <c r="H71" i="6" a="1"/>
  <c r="H71" i="6"/>
  <c r="Q22" i="6"/>
  <c r="P22" i="6"/>
  <c r="O22" i="6"/>
  <c r="N22" i="6"/>
  <c r="M22" i="6"/>
  <c r="L22" i="6"/>
  <c r="K22" i="6"/>
  <c r="J22" i="6"/>
  <c r="I22" i="6"/>
  <c r="H22" i="6"/>
  <c r="Q13" i="6"/>
  <c r="P13" i="6"/>
  <c r="O13" i="6"/>
  <c r="N13" i="6"/>
  <c r="M13" i="6"/>
  <c r="L13" i="6"/>
  <c r="J13" i="6"/>
  <c r="I13" i="6"/>
  <c r="H13" i="6"/>
  <c r="R12" i="6"/>
  <c r="K13" i="6"/>
  <c r="R13" i="6"/>
  <c r="G23" i="6" a="1"/>
  <c r="D8" i="1"/>
  <c r="D7" i="1"/>
  <c r="G25" i="6"/>
  <c r="G24" i="6"/>
  <c r="G23" i="6"/>
  <c r="F71" i="6"/>
  <c r="G32" i="6"/>
  <c r="G31" i="6"/>
  <c r="G29" i="6"/>
  <c r="G27" i="6"/>
  <c r="G30" i="6"/>
  <c r="G28" i="6"/>
  <c r="G26" i="6"/>
  <c r="I23" i="2"/>
  <c r="J23" i="2"/>
  <c r="K23" i="2"/>
  <c r="L23" i="2"/>
  <c r="L28" i="2"/>
  <c r="M23" i="2"/>
  <c r="M28" i="2"/>
  <c r="H28" i="2"/>
  <c r="I28" i="2"/>
  <c r="J28" i="2"/>
  <c r="K28" i="2"/>
  <c r="F32" i="2"/>
  <c r="F35" i="2"/>
  <c r="F40" i="2"/>
  <c r="J18" i="2"/>
  <c r="F37" i="2"/>
  <c r="I28" i="6" a="1"/>
  <c r="I28" i="6"/>
  <c r="H28" i="6" a="1"/>
  <c r="H28" i="6"/>
  <c r="F76" i="6"/>
  <c r="K28" i="6" a="1"/>
  <c r="K28" i="6"/>
  <c r="J28" i="6" a="1"/>
  <c r="J28" i="6"/>
  <c r="L28" i="6" a="1"/>
  <c r="L28" i="6"/>
  <c r="F78" i="6"/>
  <c r="H30" i="6" a="1"/>
  <c r="H30" i="6"/>
  <c r="I30" i="6" a="1"/>
  <c r="I30" i="6"/>
  <c r="N30" i="6" a="1"/>
  <c r="N30" i="6"/>
  <c r="M30" i="6" a="1"/>
  <c r="M30" i="6"/>
  <c r="J30" i="6" a="1"/>
  <c r="J30" i="6"/>
  <c r="L30" i="6" a="1"/>
  <c r="L30" i="6"/>
  <c r="K30" i="6" a="1"/>
  <c r="K30" i="6"/>
  <c r="I27" i="6" a="1"/>
  <c r="I27" i="6"/>
  <c r="F75" i="6"/>
  <c r="K27" i="6" a="1"/>
  <c r="K27" i="6"/>
  <c r="J27" i="6" a="1"/>
  <c r="J27" i="6"/>
  <c r="H27" i="6" a="1"/>
  <c r="H27" i="6"/>
  <c r="I29" i="6" a="1"/>
  <c r="I29" i="6"/>
  <c r="H29" i="6" a="1"/>
  <c r="H29" i="6"/>
  <c r="F77" i="6"/>
  <c r="J29" i="6" a="1"/>
  <c r="J29" i="6"/>
  <c r="L29" i="6" a="1"/>
  <c r="L29" i="6"/>
  <c r="K29" i="6" a="1"/>
  <c r="K29" i="6"/>
  <c r="M29" i="6" a="1"/>
  <c r="M29" i="6"/>
  <c r="H31" i="6" a="1"/>
  <c r="H31" i="6"/>
  <c r="F79" i="6"/>
  <c r="I31" i="6" a="1"/>
  <c r="I31" i="6"/>
  <c r="N31" i="6" a="1"/>
  <c r="N31" i="6"/>
  <c r="M31" i="6" a="1"/>
  <c r="M31" i="6"/>
  <c r="K31" i="6" a="1"/>
  <c r="K31" i="6"/>
  <c r="O31" i="6" a="1"/>
  <c r="O31" i="6"/>
  <c r="J31" i="6" a="1"/>
  <c r="J31" i="6"/>
  <c r="L31" i="6" a="1"/>
  <c r="L31" i="6"/>
  <c r="I32" i="6" a="1"/>
  <c r="I32" i="6"/>
  <c r="F80" i="6"/>
  <c r="K32" i="6" a="1"/>
  <c r="K32" i="6"/>
  <c r="L32" i="6" a="1"/>
  <c r="L32" i="6"/>
  <c r="P32" i="6" a="1"/>
  <c r="P32" i="6"/>
  <c r="M32" i="6" a="1"/>
  <c r="M32" i="6"/>
  <c r="J32" i="6" a="1"/>
  <c r="J32" i="6"/>
  <c r="N32" i="6" a="1"/>
  <c r="N32" i="6"/>
  <c r="H32" i="6" a="1"/>
  <c r="H32" i="6"/>
  <c r="O32" i="6" a="1"/>
  <c r="O32" i="6"/>
  <c r="F74" i="6"/>
  <c r="I26" i="6" a="1"/>
  <c r="I26" i="6"/>
  <c r="H26" i="6" a="1"/>
  <c r="H26" i="6"/>
  <c r="J26" i="6" a="1"/>
  <c r="J26" i="6"/>
  <c r="F72" i="6"/>
  <c r="H24" i="6" a="1"/>
  <c r="H24" i="6"/>
  <c r="F73" i="6"/>
  <c r="H25" i="6" a="1"/>
  <c r="H25" i="6"/>
  <c r="I25" i="6" a="1"/>
  <c r="I25" i="6"/>
  <c r="N23" i="2"/>
  <c r="N28" i="2"/>
  <c r="J88" i="6"/>
  <c r="F946" i="1" l="1"/>
  <c r="G946" i="1" s="1"/>
  <c r="H946" i="1" s="1"/>
  <c r="F805" i="1"/>
  <c r="G805" i="1" s="1"/>
  <c r="H805" i="1" s="1"/>
  <c r="F701" i="1"/>
  <c r="G701" i="1" s="1"/>
  <c r="H701" i="1" s="1"/>
  <c r="F674" i="1"/>
  <c r="G674" i="1" s="1"/>
  <c r="H674" i="1" s="1"/>
  <c r="F631" i="1"/>
  <c r="G631" i="1" s="1"/>
  <c r="H631" i="1" s="1"/>
  <c r="F609" i="1"/>
  <c r="G609" i="1" s="1"/>
  <c r="H609" i="1" s="1"/>
  <c r="F472" i="1"/>
  <c r="G472" i="1" s="1"/>
  <c r="H472" i="1" s="1"/>
  <c r="F388" i="1"/>
  <c r="G388" i="1" s="1"/>
  <c r="H388" i="1" s="1"/>
  <c r="F353" i="1"/>
  <c r="G353" i="1" s="1"/>
  <c r="H353" i="1" s="1"/>
  <c r="F300" i="1"/>
  <c r="G300" i="1" s="1"/>
  <c r="H300" i="1" s="1"/>
  <c r="F248" i="1"/>
  <c r="G248" i="1" s="1"/>
  <c r="H248" i="1" s="1"/>
  <c r="F140" i="1"/>
  <c r="G140" i="1" s="1"/>
  <c r="H140" i="1" s="1"/>
  <c r="F1017" i="1"/>
  <c r="G1017" i="1" s="1"/>
  <c r="H1017" i="1" s="1"/>
  <c r="F1007" i="1"/>
  <c r="G1007" i="1" s="1"/>
  <c r="H1007" i="1" s="1"/>
  <c r="F997" i="1"/>
  <c r="G997" i="1" s="1"/>
  <c r="H997" i="1" s="1"/>
  <c r="F976" i="1"/>
  <c r="G976" i="1" s="1"/>
  <c r="H976" i="1" s="1"/>
  <c r="F966" i="1"/>
  <c r="G966" i="1" s="1"/>
  <c r="H966" i="1" s="1"/>
  <c r="F955" i="1"/>
  <c r="G955" i="1" s="1"/>
  <c r="H955" i="1" s="1"/>
  <c r="F945" i="1"/>
  <c r="G945" i="1" s="1"/>
  <c r="H945" i="1" s="1"/>
  <c r="F935" i="1"/>
  <c r="G935" i="1" s="1"/>
  <c r="H935" i="1" s="1"/>
  <c r="F925" i="1"/>
  <c r="G925" i="1" s="1"/>
  <c r="H925" i="1" s="1"/>
  <c r="F904" i="1"/>
  <c r="G904" i="1" s="1"/>
  <c r="H904" i="1" s="1"/>
  <c r="F894" i="1"/>
  <c r="G894" i="1" s="1"/>
  <c r="H894" i="1" s="1"/>
  <c r="F867" i="1"/>
  <c r="G867" i="1" s="1"/>
  <c r="H867" i="1" s="1"/>
  <c r="F859" i="1"/>
  <c r="G859" i="1" s="1"/>
  <c r="H859" i="1" s="1"/>
  <c r="F850" i="1"/>
  <c r="G850" i="1" s="1"/>
  <c r="H850" i="1" s="1"/>
  <c r="F824" i="1"/>
  <c r="G824" i="1" s="1"/>
  <c r="H824" i="1" s="1"/>
  <c r="F804" i="1"/>
  <c r="G804" i="1" s="1"/>
  <c r="H804" i="1" s="1"/>
  <c r="F777" i="1"/>
  <c r="G777" i="1" s="1"/>
  <c r="H777" i="1" s="1"/>
  <c r="F752" i="1"/>
  <c r="G752" i="1" s="1"/>
  <c r="H752" i="1" s="1"/>
  <c r="F726" i="1"/>
  <c r="G726" i="1" s="1"/>
  <c r="H726" i="1" s="1"/>
  <c r="F700" i="1"/>
  <c r="G700" i="1" s="1"/>
  <c r="H700" i="1" s="1"/>
  <c r="F673" i="1"/>
  <c r="G673" i="1" s="1"/>
  <c r="H673" i="1" s="1"/>
  <c r="F648" i="1"/>
  <c r="G648" i="1" s="1"/>
  <c r="H648" i="1" s="1"/>
  <c r="F630" i="1"/>
  <c r="G630" i="1" s="1"/>
  <c r="H630" i="1" s="1"/>
  <c r="F588" i="1"/>
  <c r="G588" i="1" s="1"/>
  <c r="H588" i="1" s="1"/>
  <c r="F562" i="1"/>
  <c r="G562" i="1" s="1"/>
  <c r="H562" i="1" s="1"/>
  <c r="F515" i="1"/>
  <c r="G515" i="1" s="1"/>
  <c r="H515" i="1" s="1"/>
  <c r="F496" i="1"/>
  <c r="G496" i="1" s="1"/>
  <c r="H496" i="1" s="1"/>
  <c r="F468" i="1"/>
  <c r="G468" i="1" s="1"/>
  <c r="H468" i="1" s="1"/>
  <c r="F436" i="1"/>
  <c r="G436" i="1" s="1"/>
  <c r="H436" i="1" s="1"/>
  <c r="F412" i="1"/>
  <c r="G412" i="1" s="1"/>
  <c r="H412" i="1" s="1"/>
  <c r="F385" i="1"/>
  <c r="G385" i="1" s="1"/>
  <c r="H385" i="1" s="1"/>
  <c r="F349" i="1"/>
  <c r="G349" i="1" s="1"/>
  <c r="H349" i="1" s="1"/>
  <c r="F296" i="1"/>
  <c r="G296" i="1" s="1"/>
  <c r="H296" i="1" s="1"/>
  <c r="F244" i="1"/>
  <c r="G244" i="1" s="1"/>
  <c r="H244" i="1" s="1"/>
  <c r="F132" i="1"/>
  <c r="G132" i="1" s="1"/>
  <c r="H132" i="1" s="1"/>
  <c r="F936" i="1"/>
  <c r="G936" i="1" s="1"/>
  <c r="H936" i="1" s="1"/>
  <c r="F884" i="1"/>
  <c r="G884" i="1" s="1"/>
  <c r="H884" i="1" s="1"/>
  <c r="F497" i="1"/>
  <c r="G497" i="1" s="1"/>
  <c r="H497" i="1" s="1"/>
  <c r="F986" i="1"/>
  <c r="G986" i="1" s="1"/>
  <c r="H986" i="1" s="1"/>
  <c r="F934" i="1"/>
  <c r="G934" i="1" s="1"/>
  <c r="H934" i="1" s="1"/>
  <c r="F849" i="1"/>
  <c r="G849" i="1" s="1"/>
  <c r="H849" i="1" s="1"/>
  <c r="F776" i="1"/>
  <c r="G776" i="1" s="1"/>
  <c r="H776" i="1" s="1"/>
  <c r="F670" i="1"/>
  <c r="G670" i="1" s="1"/>
  <c r="H670" i="1" s="1"/>
  <c r="F533" i="1"/>
  <c r="G533" i="1" s="1"/>
  <c r="H533" i="1" s="1"/>
  <c r="F348" i="1"/>
  <c r="G348" i="1" s="1"/>
  <c r="H348" i="1" s="1"/>
  <c r="F995" i="1"/>
  <c r="G995" i="1" s="1"/>
  <c r="H995" i="1" s="1"/>
  <c r="F923" i="1"/>
  <c r="G923" i="1" s="1"/>
  <c r="H923" i="1" s="1"/>
  <c r="F866" i="1"/>
  <c r="G866" i="1" s="1"/>
  <c r="H866" i="1" s="1"/>
  <c r="F773" i="1"/>
  <c r="G773" i="1" s="1"/>
  <c r="H773" i="1" s="1"/>
  <c r="F645" i="1"/>
  <c r="G645" i="1" s="1"/>
  <c r="H645" i="1" s="1"/>
  <c r="F511" i="1"/>
  <c r="G511" i="1" s="1"/>
  <c r="H511" i="1" s="1"/>
  <c r="F104" i="1"/>
  <c r="G104" i="1" s="1"/>
  <c r="H104" i="1" s="1"/>
  <c r="F1004" i="1"/>
  <c r="G1004" i="1" s="1"/>
  <c r="H1004" i="1" s="1"/>
  <c r="F994" i="1"/>
  <c r="G994" i="1" s="1"/>
  <c r="H994" i="1" s="1"/>
  <c r="F984" i="1"/>
  <c r="G984" i="1" s="1"/>
  <c r="H984" i="1" s="1"/>
  <c r="F974" i="1"/>
  <c r="G974" i="1" s="1"/>
  <c r="H974" i="1" s="1"/>
  <c r="F963" i="1"/>
  <c r="G963" i="1" s="1"/>
  <c r="H963" i="1" s="1"/>
  <c r="F953" i="1"/>
  <c r="G953" i="1" s="1"/>
  <c r="H953" i="1" s="1"/>
  <c r="F932" i="1"/>
  <c r="G932" i="1" s="1"/>
  <c r="H932" i="1" s="1"/>
  <c r="F922" i="1"/>
  <c r="G922" i="1" s="1"/>
  <c r="H922" i="1" s="1"/>
  <c r="F912" i="1"/>
  <c r="G912" i="1" s="1"/>
  <c r="H912" i="1" s="1"/>
  <c r="F902" i="1"/>
  <c r="G902" i="1" s="1"/>
  <c r="H902" i="1" s="1"/>
  <c r="F891" i="1"/>
  <c r="G891" i="1" s="1"/>
  <c r="H891" i="1" s="1"/>
  <c r="F873" i="1"/>
  <c r="G873" i="1" s="1"/>
  <c r="H873" i="1" s="1"/>
  <c r="F865" i="1"/>
  <c r="G865" i="1" s="1"/>
  <c r="H865" i="1" s="1"/>
  <c r="F857" i="1"/>
  <c r="G857" i="1" s="1"/>
  <c r="H857" i="1" s="1"/>
  <c r="F822" i="1"/>
  <c r="G822" i="1" s="1"/>
  <c r="H822" i="1" s="1"/>
  <c r="F798" i="1"/>
  <c r="G798" i="1" s="1"/>
  <c r="H798" i="1" s="1"/>
  <c r="F772" i="1"/>
  <c r="G772" i="1" s="1"/>
  <c r="H772" i="1" s="1"/>
  <c r="F746" i="1"/>
  <c r="G746" i="1" s="1"/>
  <c r="H746" i="1" s="1"/>
  <c r="F718" i="1"/>
  <c r="G718" i="1" s="1"/>
  <c r="H718" i="1" s="1"/>
  <c r="F692" i="1"/>
  <c r="G692" i="1" s="1"/>
  <c r="H692" i="1" s="1"/>
  <c r="F644" i="1"/>
  <c r="G644" i="1" s="1"/>
  <c r="H644" i="1" s="1"/>
  <c r="F604" i="1"/>
  <c r="G604" i="1" s="1"/>
  <c r="H604" i="1" s="1"/>
  <c r="F555" i="1"/>
  <c r="G555" i="1" s="1"/>
  <c r="H555" i="1" s="1"/>
  <c r="F530" i="1"/>
  <c r="G530" i="1" s="1"/>
  <c r="H530" i="1" s="1"/>
  <c r="F491" i="1"/>
  <c r="G491" i="1" s="1"/>
  <c r="H491" i="1" s="1"/>
  <c r="F464" i="1"/>
  <c r="G464" i="1" s="1"/>
  <c r="H464" i="1" s="1"/>
  <c r="F429" i="1"/>
  <c r="G429" i="1" s="1"/>
  <c r="H429" i="1" s="1"/>
  <c r="F404" i="1"/>
  <c r="G404" i="1" s="1"/>
  <c r="H404" i="1" s="1"/>
  <c r="F374" i="1"/>
  <c r="G374" i="1" s="1"/>
  <c r="H374" i="1" s="1"/>
  <c r="F337" i="1"/>
  <c r="G337" i="1" s="1"/>
  <c r="H337" i="1" s="1"/>
  <c r="F208" i="1"/>
  <c r="G208" i="1" s="1"/>
  <c r="H208" i="1" s="1"/>
  <c r="F100" i="1"/>
  <c r="G100" i="1" s="1"/>
  <c r="H100" i="1" s="1"/>
  <c r="F1008" i="1"/>
  <c r="G1008" i="1" s="1"/>
  <c r="H1008" i="1" s="1"/>
  <c r="F650" i="1"/>
  <c r="G650" i="1" s="1"/>
  <c r="H650" i="1" s="1"/>
  <c r="F1006" i="1"/>
  <c r="G1006" i="1" s="1"/>
  <c r="H1006" i="1" s="1"/>
  <c r="F975" i="1"/>
  <c r="G975" i="1" s="1"/>
  <c r="H975" i="1" s="1"/>
  <c r="F914" i="1"/>
  <c r="G914" i="1" s="1"/>
  <c r="H914" i="1" s="1"/>
  <c r="F893" i="1"/>
  <c r="G893" i="1" s="1"/>
  <c r="H893" i="1" s="1"/>
  <c r="F803" i="1"/>
  <c r="G803" i="1" s="1"/>
  <c r="H803" i="1" s="1"/>
  <c r="F646" i="1"/>
  <c r="G646" i="1" s="1"/>
  <c r="H646" i="1" s="1"/>
  <c r="F607" i="1"/>
  <c r="G607" i="1" s="1"/>
  <c r="H607" i="1" s="1"/>
  <c r="F512" i="1"/>
  <c r="G512" i="1" s="1"/>
  <c r="H512" i="1" s="1"/>
  <c r="F467" i="1"/>
  <c r="G467" i="1" s="1"/>
  <c r="H467" i="1" s="1"/>
  <c r="F236" i="1"/>
  <c r="G236" i="1" s="1"/>
  <c r="H236" i="1" s="1"/>
  <c r="F933" i="1"/>
  <c r="G933" i="1" s="1"/>
  <c r="H933" i="1" s="1"/>
  <c r="F883" i="1"/>
  <c r="G883" i="1" s="1"/>
  <c r="H883" i="1" s="1"/>
  <c r="F802" i="1"/>
  <c r="G802" i="1" s="1"/>
  <c r="H802" i="1" s="1"/>
  <c r="F667" i="1"/>
  <c r="G667" i="1" s="1"/>
  <c r="H667" i="1" s="1"/>
  <c r="F586" i="1"/>
  <c r="G586" i="1" s="1"/>
  <c r="H586" i="1" s="1"/>
  <c r="F228" i="1"/>
  <c r="G228" i="1" s="1"/>
  <c r="H228" i="1" s="1"/>
  <c r="F1014" i="1"/>
  <c r="G1014" i="1" s="1"/>
  <c r="H1014" i="1" s="1"/>
  <c r="F1003" i="1"/>
  <c r="G1003" i="1" s="1"/>
  <c r="H1003" i="1" s="1"/>
  <c r="F993" i="1"/>
  <c r="G993" i="1" s="1"/>
  <c r="H993" i="1" s="1"/>
  <c r="F983" i="1"/>
  <c r="G983" i="1" s="1"/>
  <c r="H983" i="1" s="1"/>
  <c r="F973" i="1"/>
  <c r="G973" i="1" s="1"/>
  <c r="H973" i="1" s="1"/>
  <c r="F952" i="1"/>
  <c r="G952" i="1" s="1"/>
  <c r="H952" i="1" s="1"/>
  <c r="F942" i="1"/>
  <c r="G942" i="1" s="1"/>
  <c r="H942" i="1" s="1"/>
  <c r="F931" i="1"/>
  <c r="G931" i="1" s="1"/>
  <c r="H931" i="1" s="1"/>
  <c r="F921" i="1"/>
  <c r="G921" i="1" s="1"/>
  <c r="H921" i="1" s="1"/>
  <c r="F911" i="1"/>
  <c r="G911" i="1" s="1"/>
  <c r="H911" i="1" s="1"/>
  <c r="F901" i="1"/>
  <c r="G901" i="1" s="1"/>
  <c r="H901" i="1" s="1"/>
  <c r="F882" i="1"/>
  <c r="G882" i="1" s="1"/>
  <c r="H882" i="1" s="1"/>
  <c r="F872" i="1"/>
  <c r="G872" i="1" s="1"/>
  <c r="H872" i="1" s="1"/>
  <c r="F864" i="1"/>
  <c r="G864" i="1" s="1"/>
  <c r="H864" i="1" s="1"/>
  <c r="F856" i="1"/>
  <c r="G856" i="1" s="1"/>
  <c r="H856" i="1" s="1"/>
  <c r="F842" i="1"/>
  <c r="G842" i="1" s="1"/>
  <c r="H842" i="1" s="1"/>
  <c r="F817" i="1"/>
  <c r="G817" i="1" s="1"/>
  <c r="H817" i="1" s="1"/>
  <c r="F793" i="1"/>
  <c r="G793" i="1" s="1"/>
  <c r="H793" i="1" s="1"/>
  <c r="F744" i="1"/>
  <c r="G744" i="1" s="1"/>
  <c r="H744" i="1" s="1"/>
  <c r="F717" i="1"/>
  <c r="G717" i="1" s="1"/>
  <c r="H717" i="1" s="1"/>
  <c r="F691" i="1"/>
  <c r="G691" i="1" s="1"/>
  <c r="H691" i="1" s="1"/>
  <c r="F666" i="1"/>
  <c r="G666" i="1" s="1"/>
  <c r="H666" i="1" s="1"/>
  <c r="F643" i="1"/>
  <c r="G643" i="1" s="1"/>
  <c r="H643" i="1" s="1"/>
  <c r="F625" i="1"/>
  <c r="G625" i="1" s="1"/>
  <c r="H625" i="1" s="1"/>
  <c r="F603" i="1"/>
  <c r="G603" i="1" s="1"/>
  <c r="H603" i="1" s="1"/>
  <c r="F582" i="1"/>
  <c r="G582" i="1" s="1"/>
  <c r="H582" i="1" s="1"/>
  <c r="F553" i="1"/>
  <c r="G553" i="1" s="1"/>
  <c r="H553" i="1" s="1"/>
  <c r="F509" i="1"/>
  <c r="G509" i="1" s="1"/>
  <c r="H509" i="1" s="1"/>
  <c r="F490" i="1"/>
  <c r="G490" i="1" s="1"/>
  <c r="H490" i="1" s="1"/>
  <c r="F460" i="1"/>
  <c r="G460" i="1" s="1"/>
  <c r="H460" i="1" s="1"/>
  <c r="F426" i="1"/>
  <c r="G426" i="1" s="1"/>
  <c r="H426" i="1" s="1"/>
  <c r="F403" i="1"/>
  <c r="G403" i="1" s="1"/>
  <c r="H403" i="1" s="1"/>
  <c r="F370" i="1"/>
  <c r="G370" i="1" s="1"/>
  <c r="H370" i="1" s="1"/>
  <c r="F336" i="1"/>
  <c r="G336" i="1" s="1"/>
  <c r="H336" i="1" s="1"/>
  <c r="F281" i="1"/>
  <c r="G281" i="1" s="1"/>
  <c r="H281" i="1" s="1"/>
  <c r="F200" i="1"/>
  <c r="G200" i="1" s="1"/>
  <c r="H200" i="1" s="1"/>
  <c r="F92" i="1"/>
  <c r="G92" i="1" s="1"/>
  <c r="H92" i="1" s="1"/>
  <c r="F977" i="1"/>
  <c r="G977" i="1" s="1"/>
  <c r="H977" i="1" s="1"/>
  <c r="F827" i="1"/>
  <c r="G827" i="1" s="1"/>
  <c r="H827" i="1" s="1"/>
  <c r="F565" i="1"/>
  <c r="G565" i="1" s="1"/>
  <c r="H565" i="1" s="1"/>
  <c r="F433" i="1"/>
  <c r="G433" i="1" s="1"/>
  <c r="H433" i="1" s="1"/>
  <c r="F1005" i="1"/>
  <c r="G1005" i="1" s="1"/>
  <c r="H1005" i="1" s="1"/>
  <c r="F954" i="1"/>
  <c r="G954" i="1" s="1"/>
  <c r="H954" i="1" s="1"/>
  <c r="F858" i="1"/>
  <c r="G858" i="1" s="1"/>
  <c r="H858" i="1" s="1"/>
  <c r="F747" i="1"/>
  <c r="G747" i="1" s="1"/>
  <c r="H747" i="1" s="1"/>
  <c r="F560" i="1"/>
  <c r="G560" i="1" s="1"/>
  <c r="H560" i="1" s="1"/>
  <c r="F407" i="1"/>
  <c r="G407" i="1" s="1"/>
  <c r="H407" i="1" s="1"/>
  <c r="F285" i="1"/>
  <c r="G285" i="1" s="1"/>
  <c r="H285" i="1" s="1"/>
  <c r="F1013" i="1"/>
  <c r="G1013" i="1" s="1"/>
  <c r="H1013" i="1" s="1"/>
  <c r="F992" i="1"/>
  <c r="G992" i="1" s="1"/>
  <c r="H992" i="1" s="1"/>
  <c r="F982" i="1"/>
  <c r="G982" i="1" s="1"/>
  <c r="H982" i="1" s="1"/>
  <c r="F972" i="1"/>
  <c r="G972" i="1" s="1"/>
  <c r="H972" i="1" s="1"/>
  <c r="F962" i="1"/>
  <c r="G962" i="1" s="1"/>
  <c r="H962" i="1" s="1"/>
  <c r="F951" i="1"/>
  <c r="G951" i="1" s="1"/>
  <c r="H951" i="1" s="1"/>
  <c r="F941" i="1"/>
  <c r="G941" i="1" s="1"/>
  <c r="H941" i="1" s="1"/>
  <c r="F920" i="1"/>
  <c r="G920" i="1" s="1"/>
  <c r="H920" i="1" s="1"/>
  <c r="F910" i="1"/>
  <c r="G910" i="1" s="1"/>
  <c r="H910" i="1" s="1"/>
  <c r="F900" i="1"/>
  <c r="G900" i="1" s="1"/>
  <c r="H900" i="1" s="1"/>
  <c r="F890" i="1"/>
  <c r="G890" i="1" s="1"/>
  <c r="H890" i="1" s="1"/>
  <c r="F881" i="1"/>
  <c r="G881" i="1" s="1"/>
  <c r="H881" i="1" s="1"/>
  <c r="F855" i="1"/>
  <c r="G855" i="1" s="1"/>
  <c r="H855" i="1" s="1"/>
  <c r="F840" i="1"/>
  <c r="G840" i="1" s="1"/>
  <c r="H840" i="1" s="1"/>
  <c r="F816" i="1"/>
  <c r="G816" i="1" s="1"/>
  <c r="H816" i="1" s="1"/>
  <c r="F765" i="1"/>
  <c r="G765" i="1" s="1"/>
  <c r="H765" i="1" s="1"/>
  <c r="F743" i="1"/>
  <c r="G743" i="1" s="1"/>
  <c r="H743" i="1" s="1"/>
  <c r="F714" i="1"/>
  <c r="G714" i="1" s="1"/>
  <c r="H714" i="1" s="1"/>
  <c r="F688" i="1"/>
  <c r="G688" i="1" s="1"/>
  <c r="H688" i="1" s="1"/>
  <c r="F660" i="1"/>
  <c r="G660" i="1" s="1"/>
  <c r="H660" i="1" s="1"/>
  <c r="F640" i="1"/>
  <c r="G640" i="1" s="1"/>
  <c r="H640" i="1" s="1"/>
  <c r="F621" i="1"/>
  <c r="G621" i="1" s="1"/>
  <c r="H621" i="1" s="1"/>
  <c r="F602" i="1"/>
  <c r="G602" i="1" s="1"/>
  <c r="H602" i="1" s="1"/>
  <c r="F576" i="1"/>
  <c r="G576" i="1" s="1"/>
  <c r="H576" i="1" s="1"/>
  <c r="F552" i="1"/>
  <c r="G552" i="1" s="1"/>
  <c r="H552" i="1" s="1"/>
  <c r="F527" i="1"/>
  <c r="G527" i="1" s="1"/>
  <c r="H527" i="1" s="1"/>
  <c r="F506" i="1"/>
  <c r="G506" i="1" s="1"/>
  <c r="H506" i="1" s="1"/>
  <c r="F489" i="1"/>
  <c r="G489" i="1" s="1"/>
  <c r="H489" i="1" s="1"/>
  <c r="F458" i="1"/>
  <c r="G458" i="1" s="1"/>
  <c r="H458" i="1" s="1"/>
  <c r="F423" i="1"/>
  <c r="G423" i="1" s="1"/>
  <c r="H423" i="1" s="1"/>
  <c r="F400" i="1"/>
  <c r="G400" i="1" s="1"/>
  <c r="H400" i="1" s="1"/>
  <c r="F369" i="1"/>
  <c r="G369" i="1" s="1"/>
  <c r="H369" i="1" s="1"/>
  <c r="F329" i="1"/>
  <c r="G329" i="1" s="1"/>
  <c r="H329" i="1" s="1"/>
  <c r="F276" i="1"/>
  <c r="G276" i="1" s="1"/>
  <c r="H276" i="1" s="1"/>
  <c r="F196" i="1"/>
  <c r="G196" i="1" s="1"/>
  <c r="H196" i="1" s="1"/>
  <c r="F84" i="1"/>
  <c r="G84" i="1" s="1"/>
  <c r="H84" i="1" s="1"/>
  <c r="F987" i="1"/>
  <c r="G987" i="1" s="1"/>
  <c r="H987" i="1" s="1"/>
  <c r="F438" i="1"/>
  <c r="G438" i="1" s="1"/>
  <c r="H438" i="1" s="1"/>
  <c r="F996" i="1"/>
  <c r="G996" i="1" s="1"/>
  <c r="H996" i="1" s="1"/>
  <c r="F965" i="1"/>
  <c r="G965" i="1" s="1"/>
  <c r="H965" i="1" s="1"/>
  <c r="F903" i="1"/>
  <c r="G903" i="1" s="1"/>
  <c r="H903" i="1" s="1"/>
  <c r="F721" i="1"/>
  <c r="G721" i="1" s="1"/>
  <c r="H721" i="1" s="1"/>
  <c r="F628" i="1"/>
  <c r="G628" i="1" s="1"/>
  <c r="H628" i="1" s="1"/>
  <c r="F561" i="1"/>
  <c r="G561" i="1" s="1"/>
  <c r="H561" i="1" s="1"/>
  <c r="F495" i="1"/>
  <c r="G495" i="1" s="1"/>
  <c r="H495" i="1" s="1"/>
  <c r="F112" i="1"/>
  <c r="G112" i="1" s="1"/>
  <c r="H112" i="1" s="1"/>
  <c r="F985" i="1"/>
  <c r="G985" i="1" s="1"/>
  <c r="H985" i="1" s="1"/>
  <c r="F943" i="1"/>
  <c r="G943" i="1" s="1"/>
  <c r="H943" i="1" s="1"/>
  <c r="F892" i="1"/>
  <c r="G892" i="1" s="1"/>
  <c r="H892" i="1" s="1"/>
  <c r="F848" i="1"/>
  <c r="G848" i="1" s="1"/>
  <c r="H848" i="1" s="1"/>
  <c r="F693" i="1"/>
  <c r="G693" i="1" s="1"/>
  <c r="H693" i="1" s="1"/>
  <c r="F605" i="1"/>
  <c r="G605" i="1" s="1"/>
  <c r="H605" i="1" s="1"/>
  <c r="F492" i="1"/>
  <c r="G492" i="1" s="1"/>
  <c r="H492" i="1" s="1"/>
  <c r="F341" i="1"/>
  <c r="G341" i="1" s="1"/>
  <c r="H341" i="1" s="1"/>
  <c r="F1012" i="1"/>
  <c r="G1012" i="1" s="1"/>
  <c r="H1012" i="1" s="1"/>
  <c r="F1002" i="1"/>
  <c r="G1002" i="1" s="1"/>
  <c r="H1002" i="1" s="1"/>
  <c r="F991" i="1"/>
  <c r="G991" i="1" s="1"/>
  <c r="H991" i="1" s="1"/>
  <c r="F981" i="1"/>
  <c r="G981" i="1" s="1"/>
  <c r="H981" i="1" s="1"/>
  <c r="F971" i="1"/>
  <c r="G971" i="1" s="1"/>
  <c r="H971" i="1" s="1"/>
  <c r="F961" i="1"/>
  <c r="G961" i="1" s="1"/>
  <c r="H961" i="1" s="1"/>
  <c r="F940" i="1"/>
  <c r="G940" i="1" s="1"/>
  <c r="H940" i="1" s="1"/>
  <c r="F930" i="1"/>
  <c r="G930" i="1" s="1"/>
  <c r="H930" i="1" s="1"/>
  <c r="F919" i="1"/>
  <c r="G919" i="1" s="1"/>
  <c r="H919" i="1" s="1"/>
  <c r="F909" i="1"/>
  <c r="G909" i="1" s="1"/>
  <c r="H909" i="1" s="1"/>
  <c r="F899" i="1"/>
  <c r="G899" i="1" s="1"/>
  <c r="H899" i="1" s="1"/>
  <c r="F889" i="1"/>
  <c r="G889" i="1" s="1"/>
  <c r="H889" i="1" s="1"/>
  <c r="F880" i="1"/>
  <c r="G880" i="1" s="1"/>
  <c r="H880" i="1" s="1"/>
  <c r="F863" i="1"/>
  <c r="G863" i="1" s="1"/>
  <c r="H863" i="1" s="1"/>
  <c r="F836" i="1"/>
  <c r="G836" i="1" s="1"/>
  <c r="H836" i="1" s="1"/>
  <c r="F814" i="1"/>
  <c r="G814" i="1" s="1"/>
  <c r="H814" i="1" s="1"/>
  <c r="F791" i="1"/>
  <c r="G791" i="1" s="1"/>
  <c r="H791" i="1" s="1"/>
  <c r="F764" i="1"/>
  <c r="G764" i="1" s="1"/>
  <c r="H764" i="1" s="1"/>
  <c r="F739" i="1"/>
  <c r="G739" i="1" s="1"/>
  <c r="H739" i="1" s="1"/>
  <c r="F713" i="1"/>
  <c r="G713" i="1" s="1"/>
  <c r="H713" i="1" s="1"/>
  <c r="F687" i="1"/>
  <c r="G687" i="1" s="1"/>
  <c r="H687" i="1" s="1"/>
  <c r="F659" i="1"/>
  <c r="G659" i="1" s="1"/>
  <c r="H659" i="1" s="1"/>
  <c r="F620" i="1"/>
  <c r="G620" i="1" s="1"/>
  <c r="H620" i="1" s="1"/>
  <c r="F601" i="1"/>
  <c r="G601" i="1" s="1"/>
  <c r="H601" i="1" s="1"/>
  <c r="F574" i="1"/>
  <c r="G574" i="1" s="1"/>
  <c r="H574" i="1" s="1"/>
  <c r="F549" i="1"/>
  <c r="G549" i="1" s="1"/>
  <c r="H549" i="1" s="1"/>
  <c r="F526" i="1"/>
  <c r="G526" i="1" s="1"/>
  <c r="H526" i="1" s="1"/>
  <c r="F457" i="1"/>
  <c r="G457" i="1" s="1"/>
  <c r="H457" i="1" s="1"/>
  <c r="F421" i="1"/>
  <c r="G421" i="1" s="1"/>
  <c r="H421" i="1" s="1"/>
  <c r="F399" i="1"/>
  <c r="G399" i="1" s="1"/>
  <c r="H399" i="1" s="1"/>
  <c r="F363" i="1"/>
  <c r="G363" i="1" s="1"/>
  <c r="H363" i="1" s="1"/>
  <c r="F320" i="1"/>
  <c r="G320" i="1" s="1"/>
  <c r="H320" i="1" s="1"/>
  <c r="F268" i="1"/>
  <c r="G268" i="1" s="1"/>
  <c r="H268" i="1" s="1"/>
  <c r="F188" i="1"/>
  <c r="G188" i="1" s="1"/>
  <c r="H188" i="1" s="1"/>
  <c r="F64" i="1"/>
  <c r="G64" i="1" s="1"/>
  <c r="H64" i="1" s="1"/>
  <c r="F926" i="1"/>
  <c r="G926" i="1" s="1"/>
  <c r="H926" i="1" s="1"/>
  <c r="F1016" i="1"/>
  <c r="G1016" i="1" s="1"/>
  <c r="H1016" i="1" s="1"/>
  <c r="F944" i="1"/>
  <c r="G944" i="1" s="1"/>
  <c r="H944" i="1" s="1"/>
  <c r="F875" i="1"/>
  <c r="G875" i="1" s="1"/>
  <c r="H875" i="1" s="1"/>
  <c r="F751" i="1"/>
  <c r="G751" i="1" s="1"/>
  <c r="H751" i="1" s="1"/>
  <c r="F587" i="1"/>
  <c r="G587" i="1" s="1"/>
  <c r="H587" i="1" s="1"/>
  <c r="F292" i="1"/>
  <c r="G292" i="1" s="1"/>
  <c r="H292" i="1" s="1"/>
  <c r="F1015" i="1"/>
  <c r="G1015" i="1" s="1"/>
  <c r="H1015" i="1" s="1"/>
  <c r="F964" i="1"/>
  <c r="G964" i="1" s="1"/>
  <c r="H964" i="1" s="1"/>
  <c r="F913" i="1"/>
  <c r="G913" i="1" s="1"/>
  <c r="H913" i="1" s="1"/>
  <c r="F874" i="1"/>
  <c r="G874" i="1" s="1"/>
  <c r="H874" i="1" s="1"/>
  <c r="F823" i="1"/>
  <c r="G823" i="1" s="1"/>
  <c r="H823" i="1" s="1"/>
  <c r="F719" i="1"/>
  <c r="G719" i="1" s="1"/>
  <c r="H719" i="1" s="1"/>
  <c r="F626" i="1"/>
  <c r="G626" i="1" s="1"/>
  <c r="H626" i="1" s="1"/>
  <c r="F531" i="1"/>
  <c r="G531" i="1" s="1"/>
  <c r="H531" i="1" s="1"/>
  <c r="F465" i="1"/>
  <c r="G465" i="1" s="1"/>
  <c r="H465" i="1" s="1"/>
  <c r="F376" i="1"/>
  <c r="G376" i="1" s="1"/>
  <c r="H376" i="1" s="1"/>
  <c r="F1011" i="1"/>
  <c r="G1011" i="1" s="1"/>
  <c r="H1011" i="1" s="1"/>
  <c r="F1001" i="1"/>
  <c r="G1001" i="1" s="1"/>
  <c r="H1001" i="1" s="1"/>
  <c r="F980" i="1"/>
  <c r="G980" i="1" s="1"/>
  <c r="H980" i="1" s="1"/>
  <c r="F970" i="1"/>
  <c r="G970" i="1" s="1"/>
  <c r="H970" i="1" s="1"/>
  <c r="F960" i="1"/>
  <c r="G960" i="1" s="1"/>
  <c r="H960" i="1" s="1"/>
  <c r="F950" i="1"/>
  <c r="G950" i="1" s="1"/>
  <c r="H950" i="1" s="1"/>
  <c r="F939" i="1"/>
  <c r="G939" i="1" s="1"/>
  <c r="H939" i="1" s="1"/>
  <c r="F929" i="1"/>
  <c r="G929" i="1" s="1"/>
  <c r="H929" i="1" s="1"/>
  <c r="F908" i="1"/>
  <c r="G908" i="1" s="1"/>
  <c r="H908" i="1" s="1"/>
  <c r="F898" i="1"/>
  <c r="G898" i="1" s="1"/>
  <c r="H898" i="1" s="1"/>
  <c r="F888" i="1"/>
  <c r="G888" i="1" s="1"/>
  <c r="H888" i="1" s="1"/>
  <c r="F879" i="1"/>
  <c r="G879" i="1" s="1"/>
  <c r="H879" i="1" s="1"/>
  <c r="F871" i="1"/>
  <c r="G871" i="1" s="1"/>
  <c r="H871" i="1" s="1"/>
  <c r="F862" i="1"/>
  <c r="G862" i="1" s="1"/>
  <c r="H862" i="1" s="1"/>
  <c r="F854" i="1"/>
  <c r="G854" i="1" s="1"/>
  <c r="H854" i="1" s="1"/>
  <c r="F835" i="1"/>
  <c r="G835" i="1" s="1"/>
  <c r="H835" i="1" s="1"/>
  <c r="F812" i="1"/>
  <c r="G812" i="1" s="1"/>
  <c r="H812" i="1" s="1"/>
  <c r="F790" i="1"/>
  <c r="G790" i="1" s="1"/>
  <c r="H790" i="1" s="1"/>
  <c r="F763" i="1"/>
  <c r="G763" i="1" s="1"/>
  <c r="H763" i="1" s="1"/>
  <c r="F734" i="1"/>
  <c r="G734" i="1" s="1"/>
  <c r="H734" i="1" s="1"/>
  <c r="F684" i="1"/>
  <c r="G684" i="1" s="1"/>
  <c r="H684" i="1" s="1"/>
  <c r="F638" i="1"/>
  <c r="G638" i="1" s="1"/>
  <c r="H638" i="1" s="1"/>
  <c r="F618" i="1"/>
  <c r="G618" i="1" s="1"/>
  <c r="H618" i="1" s="1"/>
  <c r="F599" i="1"/>
  <c r="G599" i="1" s="1"/>
  <c r="H599" i="1" s="1"/>
  <c r="F570" i="1"/>
  <c r="G570" i="1" s="1"/>
  <c r="H570" i="1" s="1"/>
  <c r="F547" i="1"/>
  <c r="G547" i="1" s="1"/>
  <c r="H547" i="1" s="1"/>
  <c r="F525" i="1"/>
  <c r="G525" i="1" s="1"/>
  <c r="H525" i="1" s="1"/>
  <c r="F504" i="1"/>
  <c r="G504" i="1" s="1"/>
  <c r="H504" i="1" s="1"/>
  <c r="F482" i="1"/>
  <c r="G482" i="1" s="1"/>
  <c r="H482" i="1" s="1"/>
  <c r="F452" i="1"/>
  <c r="G452" i="1" s="1"/>
  <c r="H452" i="1" s="1"/>
  <c r="F420" i="1"/>
  <c r="G420" i="1" s="1"/>
  <c r="H420" i="1" s="1"/>
  <c r="F396" i="1"/>
  <c r="G396" i="1" s="1"/>
  <c r="H396" i="1" s="1"/>
  <c r="F317" i="1"/>
  <c r="G317" i="1" s="1"/>
  <c r="H317" i="1" s="1"/>
  <c r="F265" i="1"/>
  <c r="G265" i="1" s="1"/>
  <c r="H265" i="1" s="1"/>
  <c r="F180" i="1"/>
  <c r="G180" i="1" s="1"/>
  <c r="H180" i="1" s="1"/>
  <c r="F56" i="1"/>
  <c r="G56" i="1" s="1"/>
  <c r="H56" i="1" s="1"/>
  <c r="F956" i="1"/>
  <c r="G956" i="1" s="1"/>
  <c r="H956" i="1" s="1"/>
  <c r="F915" i="1"/>
  <c r="G915" i="1" s="1"/>
  <c r="H915" i="1" s="1"/>
  <c r="F876" i="1"/>
  <c r="G876" i="1" s="1"/>
  <c r="H876" i="1" s="1"/>
  <c r="F778" i="1"/>
  <c r="G778" i="1" s="1"/>
  <c r="H778" i="1" s="1"/>
  <c r="F537" i="1"/>
  <c r="G537" i="1" s="1"/>
  <c r="H537" i="1" s="1"/>
  <c r="F924" i="1"/>
  <c r="G924" i="1" s="1"/>
  <c r="H924" i="1" s="1"/>
  <c r="F410" i="1"/>
  <c r="G410" i="1" s="1"/>
  <c r="H410" i="1" s="1"/>
  <c r="F990" i="1"/>
  <c r="G990" i="1" s="1"/>
  <c r="H990" i="1" s="1"/>
  <c r="F959" i="1"/>
  <c r="G959" i="1" s="1"/>
  <c r="H959" i="1" s="1"/>
  <c r="F928" i="1"/>
  <c r="G928" i="1" s="1"/>
  <c r="H928" i="1" s="1"/>
  <c r="F897" i="1"/>
  <c r="G897" i="1" s="1"/>
  <c r="H897" i="1" s="1"/>
  <c r="F733" i="1"/>
  <c r="G733" i="1" s="1"/>
  <c r="H733" i="1" s="1"/>
  <c r="F680" i="1"/>
  <c r="G680" i="1" s="1"/>
  <c r="H680" i="1" s="1"/>
  <c r="F636" i="1"/>
  <c r="G636" i="1" s="1"/>
  <c r="H636" i="1" s="1"/>
  <c r="F597" i="1"/>
  <c r="G597" i="1" s="1"/>
  <c r="H597" i="1" s="1"/>
  <c r="F569" i="1"/>
  <c r="G569" i="1" s="1"/>
  <c r="H569" i="1" s="1"/>
  <c r="F545" i="1"/>
  <c r="G545" i="1" s="1"/>
  <c r="H545" i="1" s="1"/>
  <c r="F523" i="1"/>
  <c r="G523" i="1" s="1"/>
  <c r="H523" i="1" s="1"/>
  <c r="F502" i="1"/>
  <c r="G502" i="1" s="1"/>
  <c r="H502" i="1" s="1"/>
  <c r="F477" i="1"/>
  <c r="G477" i="1" s="1"/>
  <c r="H477" i="1" s="1"/>
  <c r="F392" i="1"/>
  <c r="G392" i="1" s="1"/>
  <c r="H392" i="1" s="1"/>
  <c r="F361" i="1"/>
  <c r="G361" i="1" s="1"/>
  <c r="H361" i="1" s="1"/>
  <c r="F316" i="1"/>
  <c r="G316" i="1" s="1"/>
  <c r="H316" i="1" s="1"/>
  <c r="F264" i="1"/>
  <c r="G264" i="1" s="1"/>
  <c r="H264" i="1" s="1"/>
  <c r="F160" i="1"/>
  <c r="G160" i="1" s="1"/>
  <c r="H160" i="1" s="1"/>
  <c r="F52" i="1"/>
  <c r="G52" i="1" s="1"/>
  <c r="H52" i="1" s="1"/>
  <c r="F998" i="1"/>
  <c r="G998" i="1" s="1"/>
  <c r="H998" i="1" s="1"/>
  <c r="F851" i="1"/>
  <c r="G851" i="1" s="1"/>
  <c r="H851" i="1" s="1"/>
  <c r="F414" i="1"/>
  <c r="G414" i="1" s="1"/>
  <c r="H414" i="1" s="1"/>
  <c r="F979" i="1"/>
  <c r="G979" i="1" s="1"/>
  <c r="H979" i="1" s="1"/>
  <c r="F949" i="1"/>
  <c r="G949" i="1" s="1"/>
  <c r="H949" i="1" s="1"/>
  <c r="F907" i="1"/>
  <c r="G907" i="1" s="1"/>
  <c r="H907" i="1" s="1"/>
  <c r="F853" i="1"/>
  <c r="G853" i="1" s="1"/>
  <c r="H853" i="1" s="1"/>
  <c r="F789" i="1"/>
  <c r="G789" i="1" s="1"/>
  <c r="H789" i="1" s="1"/>
  <c r="F706" i="1"/>
  <c r="G706" i="1" s="1"/>
  <c r="H706" i="1" s="1"/>
  <c r="F419" i="1"/>
  <c r="G419" i="1" s="1"/>
  <c r="H419" i="1" s="1"/>
  <c r="F1010" i="1"/>
  <c r="G1010" i="1" s="1"/>
  <c r="H1010" i="1" s="1"/>
  <c r="F999" i="1"/>
  <c r="G999" i="1" s="1"/>
  <c r="H999" i="1" s="1"/>
  <c r="F989" i="1"/>
  <c r="G989" i="1" s="1"/>
  <c r="H989" i="1" s="1"/>
  <c r="F968" i="1"/>
  <c r="G968" i="1" s="1"/>
  <c r="H968" i="1" s="1"/>
  <c r="F958" i="1"/>
  <c r="G958" i="1" s="1"/>
  <c r="H958" i="1" s="1"/>
  <c r="F948" i="1"/>
  <c r="G948" i="1" s="1"/>
  <c r="H948" i="1" s="1"/>
  <c r="F938" i="1"/>
  <c r="G938" i="1" s="1"/>
  <c r="H938" i="1" s="1"/>
  <c r="F927" i="1"/>
  <c r="G927" i="1" s="1"/>
  <c r="H927" i="1" s="1"/>
  <c r="F917" i="1"/>
  <c r="G917" i="1" s="1"/>
  <c r="H917" i="1" s="1"/>
  <c r="F896" i="1"/>
  <c r="G896" i="1" s="1"/>
  <c r="H896" i="1" s="1"/>
  <c r="F886" i="1"/>
  <c r="G886" i="1" s="1"/>
  <c r="H886" i="1" s="1"/>
  <c r="F878" i="1"/>
  <c r="G878" i="1" s="1"/>
  <c r="H878" i="1" s="1"/>
  <c r="F870" i="1"/>
  <c r="G870" i="1" s="1"/>
  <c r="H870" i="1" s="1"/>
  <c r="F860" i="1"/>
  <c r="G860" i="1" s="1"/>
  <c r="H860" i="1" s="1"/>
  <c r="F852" i="1"/>
  <c r="G852" i="1" s="1"/>
  <c r="H852" i="1" s="1"/>
  <c r="F829" i="1"/>
  <c r="G829" i="1" s="1"/>
  <c r="H829" i="1" s="1"/>
  <c r="F811" i="1"/>
  <c r="G811" i="1" s="1"/>
  <c r="H811" i="1" s="1"/>
  <c r="F786" i="1"/>
  <c r="G786" i="1" s="1"/>
  <c r="H786" i="1" s="1"/>
  <c r="F759" i="1"/>
  <c r="G759" i="1" s="1"/>
  <c r="H759" i="1" s="1"/>
  <c r="F732" i="1"/>
  <c r="G732" i="1" s="1"/>
  <c r="H732" i="1" s="1"/>
  <c r="F705" i="1"/>
  <c r="G705" i="1" s="1"/>
  <c r="H705" i="1" s="1"/>
  <c r="F679" i="1"/>
  <c r="G679" i="1" s="1"/>
  <c r="H679" i="1" s="1"/>
  <c r="F651" i="1"/>
  <c r="G651" i="1" s="1"/>
  <c r="H651" i="1" s="1"/>
  <c r="F635" i="1"/>
  <c r="G635" i="1" s="1"/>
  <c r="H635" i="1" s="1"/>
  <c r="F613" i="1"/>
  <c r="G613" i="1" s="1"/>
  <c r="H613" i="1" s="1"/>
  <c r="F596" i="1"/>
  <c r="G596" i="1" s="1"/>
  <c r="H596" i="1" s="1"/>
  <c r="F568" i="1"/>
  <c r="G568" i="1" s="1"/>
  <c r="H568" i="1" s="1"/>
  <c r="F518" i="1"/>
  <c r="G518" i="1" s="1"/>
  <c r="H518" i="1" s="1"/>
  <c r="F499" i="1"/>
  <c r="G499" i="1" s="1"/>
  <c r="H499" i="1" s="1"/>
  <c r="F445" i="1"/>
  <c r="G445" i="1" s="1"/>
  <c r="H445" i="1" s="1"/>
  <c r="F418" i="1"/>
  <c r="G418" i="1" s="1"/>
  <c r="H418" i="1" s="1"/>
  <c r="F391" i="1"/>
  <c r="G391" i="1" s="1"/>
  <c r="H391" i="1" s="1"/>
  <c r="F358" i="1"/>
  <c r="G358" i="1" s="1"/>
  <c r="H358" i="1" s="1"/>
  <c r="F312" i="1"/>
  <c r="G312" i="1" s="1"/>
  <c r="H312" i="1" s="1"/>
  <c r="F261" i="1"/>
  <c r="G261" i="1" s="1"/>
  <c r="H261" i="1" s="1"/>
  <c r="F152" i="1"/>
  <c r="G152" i="1" s="1"/>
  <c r="H152" i="1" s="1"/>
  <c r="F44" i="1"/>
  <c r="G44" i="1" s="1"/>
  <c r="H44" i="1" s="1"/>
  <c r="F905" i="1"/>
  <c r="G905" i="1" s="1"/>
  <c r="H905" i="1" s="1"/>
  <c r="F868" i="1"/>
  <c r="G868" i="1" s="1"/>
  <c r="H868" i="1" s="1"/>
  <c r="F730" i="1"/>
  <c r="G730" i="1" s="1"/>
  <c r="H730" i="1" s="1"/>
  <c r="F516" i="1"/>
  <c r="G516" i="1" s="1"/>
  <c r="H516" i="1" s="1"/>
  <c r="F384" i="1"/>
  <c r="G384" i="1" s="1"/>
  <c r="H384" i="1" s="1"/>
  <c r="F1000" i="1"/>
  <c r="G1000" i="1" s="1"/>
  <c r="H1000" i="1" s="1"/>
  <c r="F969" i="1"/>
  <c r="G969" i="1" s="1"/>
  <c r="H969" i="1" s="1"/>
  <c r="F918" i="1"/>
  <c r="G918" i="1" s="1"/>
  <c r="H918" i="1" s="1"/>
  <c r="F887" i="1"/>
  <c r="G887" i="1" s="1"/>
  <c r="H887" i="1" s="1"/>
  <c r="F861" i="1"/>
  <c r="G861" i="1" s="1"/>
  <c r="H861" i="1" s="1"/>
  <c r="F834" i="1"/>
  <c r="G834" i="1" s="1"/>
  <c r="H834" i="1" s="1"/>
  <c r="F760" i="1"/>
  <c r="G760" i="1" s="1"/>
  <c r="H760" i="1" s="1"/>
  <c r="F655" i="1"/>
  <c r="G655" i="1" s="1"/>
  <c r="H655" i="1" s="1"/>
  <c r="F449" i="1"/>
  <c r="G449" i="1" s="1"/>
  <c r="H449" i="1" s="1"/>
  <c r="F1009" i="1"/>
  <c r="G1009" i="1" s="1"/>
  <c r="H1009" i="1" s="1"/>
  <c r="F988" i="1"/>
  <c r="G988" i="1" s="1"/>
  <c r="H988" i="1" s="1"/>
  <c r="F978" i="1"/>
  <c r="G978" i="1" s="1"/>
  <c r="H978" i="1" s="1"/>
  <c r="F967" i="1"/>
  <c r="G967" i="1" s="1"/>
  <c r="H967" i="1" s="1"/>
  <c r="F957" i="1"/>
  <c r="G957" i="1" s="1"/>
  <c r="H957" i="1" s="1"/>
  <c r="F947" i="1"/>
  <c r="G947" i="1" s="1"/>
  <c r="H947" i="1" s="1"/>
  <c r="F937" i="1"/>
  <c r="G937" i="1" s="1"/>
  <c r="H937" i="1" s="1"/>
  <c r="F916" i="1"/>
  <c r="G916" i="1" s="1"/>
  <c r="H916" i="1" s="1"/>
  <c r="F906" i="1"/>
  <c r="G906" i="1" s="1"/>
  <c r="H906" i="1" s="1"/>
  <c r="F895" i="1"/>
  <c r="G895" i="1" s="1"/>
  <c r="H895" i="1" s="1"/>
  <c r="F885" i="1"/>
  <c r="G885" i="1" s="1"/>
  <c r="H885" i="1" s="1"/>
  <c r="F877" i="1"/>
  <c r="G877" i="1" s="1"/>
  <c r="H877" i="1" s="1"/>
  <c r="F869" i="1"/>
  <c r="G869" i="1" s="1"/>
  <c r="H869" i="1" s="1"/>
  <c r="F806" i="1"/>
  <c r="G806" i="1" s="1"/>
  <c r="H806" i="1" s="1"/>
  <c r="F785" i="1"/>
  <c r="G785" i="1" s="1"/>
  <c r="H785" i="1" s="1"/>
  <c r="F756" i="1"/>
  <c r="G756" i="1" s="1"/>
  <c r="H756" i="1" s="1"/>
  <c r="F731" i="1"/>
  <c r="G731" i="1" s="1"/>
  <c r="H731" i="1" s="1"/>
  <c r="F704" i="1"/>
  <c r="G704" i="1" s="1"/>
  <c r="H704" i="1" s="1"/>
  <c r="F677" i="1"/>
  <c r="G677" i="1" s="1"/>
  <c r="H677" i="1" s="1"/>
  <c r="F634" i="1"/>
  <c r="G634" i="1" s="1"/>
  <c r="H634" i="1" s="1"/>
  <c r="F590" i="1"/>
  <c r="G590" i="1" s="1"/>
  <c r="H590" i="1" s="1"/>
  <c r="F567" i="1"/>
  <c r="G567" i="1" s="1"/>
  <c r="H567" i="1" s="1"/>
  <c r="F538" i="1"/>
  <c r="G538" i="1" s="1"/>
  <c r="H538" i="1" s="1"/>
  <c r="F517" i="1"/>
  <c r="G517" i="1" s="1"/>
  <c r="H517" i="1" s="1"/>
  <c r="F498" i="1"/>
  <c r="G498" i="1" s="1"/>
  <c r="H498" i="1" s="1"/>
  <c r="F475" i="1"/>
  <c r="G475" i="1" s="1"/>
  <c r="H475" i="1" s="1"/>
  <c r="F443" i="1"/>
  <c r="G443" i="1" s="1"/>
  <c r="H443" i="1" s="1"/>
  <c r="F415" i="1"/>
  <c r="G415" i="1" s="1"/>
  <c r="H415" i="1" s="1"/>
  <c r="F390" i="1"/>
  <c r="G390" i="1" s="1"/>
  <c r="H390" i="1" s="1"/>
  <c r="F356" i="1"/>
  <c r="G356" i="1" s="1"/>
  <c r="H356" i="1" s="1"/>
  <c r="F309" i="1"/>
  <c r="G309" i="1" s="1"/>
  <c r="H309" i="1" s="1"/>
  <c r="F257" i="1"/>
  <c r="G257" i="1" s="1"/>
  <c r="H257" i="1" s="1"/>
  <c r="F148" i="1"/>
  <c r="G148" i="1" s="1"/>
  <c r="H148" i="1" s="1"/>
  <c r="F36" i="1"/>
  <c r="G36" i="1" s="1"/>
  <c r="H36" i="1" s="1"/>
  <c r="F843" i="1"/>
  <c r="G843" i="1" s="1"/>
  <c r="H843" i="1" s="1"/>
  <c r="F830" i="1"/>
  <c r="G830" i="1" s="1"/>
  <c r="H830" i="1" s="1"/>
  <c r="F818" i="1"/>
  <c r="G818" i="1" s="1"/>
  <c r="H818" i="1" s="1"/>
  <c r="F799" i="1"/>
  <c r="G799" i="1" s="1"/>
  <c r="H799" i="1" s="1"/>
  <c r="F792" i="1"/>
  <c r="G792" i="1" s="1"/>
  <c r="H792" i="1" s="1"/>
  <c r="F779" i="1"/>
  <c r="G779" i="1" s="1"/>
  <c r="H779" i="1" s="1"/>
  <c r="F766" i="1"/>
  <c r="G766" i="1" s="1"/>
  <c r="H766" i="1" s="1"/>
  <c r="F753" i="1"/>
  <c r="G753" i="1" s="1"/>
  <c r="H753" i="1" s="1"/>
  <c r="F740" i="1"/>
  <c r="G740" i="1" s="1"/>
  <c r="H740" i="1" s="1"/>
  <c r="F727" i="1"/>
  <c r="G727" i="1" s="1"/>
  <c r="H727" i="1" s="1"/>
  <c r="F720" i="1"/>
  <c r="G720" i="1" s="1"/>
  <c r="H720" i="1" s="1"/>
  <c r="F707" i="1"/>
  <c r="G707" i="1" s="1"/>
  <c r="H707" i="1" s="1"/>
  <c r="F694" i="1"/>
  <c r="G694" i="1" s="1"/>
  <c r="H694" i="1" s="1"/>
  <c r="F681" i="1"/>
  <c r="G681" i="1" s="1"/>
  <c r="H681" i="1" s="1"/>
  <c r="F661" i="1"/>
  <c r="G661" i="1" s="1"/>
  <c r="H661" i="1" s="1"/>
  <c r="F656" i="1"/>
  <c r="G656" i="1" s="1"/>
  <c r="H656" i="1" s="1"/>
  <c r="F641" i="1"/>
  <c r="G641" i="1" s="1"/>
  <c r="H641" i="1" s="1"/>
  <c r="F615" i="1"/>
  <c r="G615" i="1" s="1"/>
  <c r="H615" i="1" s="1"/>
  <c r="F610" i="1"/>
  <c r="G610" i="1" s="1"/>
  <c r="H610" i="1" s="1"/>
  <c r="F598" i="1"/>
  <c r="G598" i="1" s="1"/>
  <c r="H598" i="1" s="1"/>
  <c r="F589" i="1"/>
  <c r="G589" i="1" s="1"/>
  <c r="H589" i="1" s="1"/>
  <c r="F583" i="1"/>
  <c r="G583" i="1" s="1"/>
  <c r="H583" i="1" s="1"/>
  <c r="F577" i="1"/>
  <c r="G577" i="1" s="1"/>
  <c r="H577" i="1" s="1"/>
  <c r="F556" i="1"/>
  <c r="G556" i="1" s="1"/>
  <c r="H556" i="1" s="1"/>
  <c r="F548" i="1"/>
  <c r="G548" i="1" s="1"/>
  <c r="H548" i="1" s="1"/>
  <c r="F539" i="1"/>
  <c r="G539" i="1" s="1"/>
  <c r="H539" i="1" s="1"/>
  <c r="F519" i="1"/>
  <c r="G519" i="1" s="1"/>
  <c r="H519" i="1" s="1"/>
  <c r="F505" i="1"/>
  <c r="G505" i="1" s="1"/>
  <c r="H505" i="1" s="1"/>
  <c r="F483" i="1"/>
  <c r="G483" i="1" s="1"/>
  <c r="H483" i="1" s="1"/>
  <c r="F476" i="1"/>
  <c r="G476" i="1" s="1"/>
  <c r="H476" i="1" s="1"/>
  <c r="F461" i="1"/>
  <c r="G461" i="1" s="1"/>
  <c r="H461" i="1" s="1"/>
  <c r="F453" i="1"/>
  <c r="G453" i="1" s="1"/>
  <c r="H453" i="1" s="1"/>
  <c r="F446" i="1"/>
  <c r="G446" i="1" s="1"/>
  <c r="H446" i="1" s="1"/>
  <c r="F437" i="1"/>
  <c r="G437" i="1" s="1"/>
  <c r="H437" i="1" s="1"/>
  <c r="F430" i="1"/>
  <c r="G430" i="1" s="1"/>
  <c r="H430" i="1" s="1"/>
  <c r="F422" i="1"/>
  <c r="G422" i="1" s="1"/>
  <c r="H422" i="1" s="1"/>
  <c r="F406" i="1"/>
  <c r="G406" i="1" s="1"/>
  <c r="H406" i="1" s="1"/>
  <c r="F377" i="1"/>
  <c r="G377" i="1" s="1"/>
  <c r="H377" i="1" s="1"/>
  <c r="F362" i="1"/>
  <c r="G362" i="1" s="1"/>
  <c r="H362" i="1" s="1"/>
  <c r="F340" i="1"/>
  <c r="G340" i="1" s="1"/>
  <c r="H340" i="1" s="1"/>
  <c r="F301" i="1"/>
  <c r="G301" i="1" s="1"/>
  <c r="H301" i="1" s="1"/>
  <c r="F284" i="1"/>
  <c r="G284" i="1" s="1"/>
  <c r="H284" i="1" s="1"/>
  <c r="F249" i="1"/>
  <c r="G249" i="1" s="1"/>
  <c r="H249" i="1" s="1"/>
  <c r="F204" i="1"/>
  <c r="G204" i="1" s="1"/>
  <c r="H204" i="1" s="1"/>
  <c r="F156" i="1"/>
  <c r="G156" i="1" s="1"/>
  <c r="H156" i="1" s="1"/>
  <c r="F108" i="1"/>
  <c r="G108" i="1" s="1"/>
  <c r="H108" i="1" s="1"/>
  <c r="F60" i="1"/>
  <c r="G60" i="1" s="1"/>
  <c r="H60" i="1" s="1"/>
  <c r="F841" i="1"/>
  <c r="G841" i="1" s="1"/>
  <c r="H841" i="1" s="1"/>
  <c r="F828" i="1"/>
  <c r="G828" i="1" s="1"/>
  <c r="H828" i="1" s="1"/>
  <c r="F810" i="1"/>
  <c r="G810" i="1" s="1"/>
  <c r="H810" i="1" s="1"/>
  <c r="F797" i="1"/>
  <c r="G797" i="1" s="1"/>
  <c r="H797" i="1" s="1"/>
  <c r="F784" i="1"/>
  <c r="G784" i="1" s="1"/>
  <c r="H784" i="1" s="1"/>
  <c r="F771" i="1"/>
  <c r="G771" i="1" s="1"/>
  <c r="H771" i="1" s="1"/>
  <c r="F758" i="1"/>
  <c r="G758" i="1" s="1"/>
  <c r="H758" i="1" s="1"/>
  <c r="F745" i="1"/>
  <c r="G745" i="1" s="1"/>
  <c r="H745" i="1" s="1"/>
  <c r="F738" i="1"/>
  <c r="G738" i="1" s="1"/>
  <c r="H738" i="1" s="1"/>
  <c r="F725" i="1"/>
  <c r="G725" i="1" s="1"/>
  <c r="H725" i="1" s="1"/>
  <c r="F712" i="1"/>
  <c r="G712" i="1" s="1"/>
  <c r="H712" i="1" s="1"/>
  <c r="F699" i="1"/>
  <c r="G699" i="1" s="1"/>
  <c r="H699" i="1" s="1"/>
  <c r="F686" i="1"/>
  <c r="G686" i="1" s="1"/>
  <c r="H686" i="1" s="1"/>
  <c r="F672" i="1"/>
  <c r="G672" i="1" s="1"/>
  <c r="H672" i="1" s="1"/>
  <c r="F665" i="1"/>
  <c r="G665" i="1" s="1"/>
  <c r="H665" i="1" s="1"/>
  <c r="F639" i="1"/>
  <c r="G639" i="1" s="1"/>
  <c r="H639" i="1" s="1"/>
  <c r="F624" i="1"/>
  <c r="G624" i="1" s="1"/>
  <c r="H624" i="1" s="1"/>
  <c r="F619" i="1"/>
  <c r="G619" i="1" s="1"/>
  <c r="H619" i="1" s="1"/>
  <c r="F614" i="1"/>
  <c r="G614" i="1" s="1"/>
  <c r="H614" i="1" s="1"/>
  <c r="F608" i="1"/>
  <c r="G608" i="1" s="1"/>
  <c r="H608" i="1" s="1"/>
  <c r="F595" i="1"/>
  <c r="G595" i="1" s="1"/>
  <c r="H595" i="1" s="1"/>
  <c r="F554" i="1"/>
  <c r="G554" i="1" s="1"/>
  <c r="H554" i="1" s="1"/>
  <c r="F546" i="1"/>
  <c r="G546" i="1" s="1"/>
  <c r="H546" i="1" s="1"/>
  <c r="F532" i="1"/>
  <c r="G532" i="1" s="1"/>
  <c r="H532" i="1" s="1"/>
  <c r="F510" i="1"/>
  <c r="G510" i="1" s="1"/>
  <c r="H510" i="1" s="1"/>
  <c r="F481" i="1"/>
  <c r="G481" i="1" s="1"/>
  <c r="H481" i="1" s="1"/>
  <c r="F474" i="1"/>
  <c r="G474" i="1" s="1"/>
  <c r="H474" i="1" s="1"/>
  <c r="F466" i="1"/>
  <c r="G466" i="1" s="1"/>
  <c r="H466" i="1" s="1"/>
  <c r="F459" i="1"/>
  <c r="G459" i="1" s="1"/>
  <c r="H459" i="1" s="1"/>
  <c r="F451" i="1"/>
  <c r="G451" i="1" s="1"/>
  <c r="H451" i="1" s="1"/>
  <c r="F444" i="1"/>
  <c r="G444" i="1" s="1"/>
  <c r="H444" i="1" s="1"/>
  <c r="F435" i="1"/>
  <c r="G435" i="1" s="1"/>
  <c r="H435" i="1" s="1"/>
  <c r="F428" i="1"/>
  <c r="G428" i="1" s="1"/>
  <c r="H428" i="1" s="1"/>
  <c r="F413" i="1"/>
  <c r="G413" i="1" s="1"/>
  <c r="H413" i="1" s="1"/>
  <c r="F405" i="1"/>
  <c r="G405" i="1" s="1"/>
  <c r="H405" i="1" s="1"/>
  <c r="F398" i="1"/>
  <c r="G398" i="1" s="1"/>
  <c r="H398" i="1" s="1"/>
  <c r="F383" i="1"/>
  <c r="G383" i="1" s="1"/>
  <c r="H383" i="1" s="1"/>
  <c r="F375" i="1"/>
  <c r="G375" i="1" s="1"/>
  <c r="H375" i="1" s="1"/>
  <c r="F368" i="1"/>
  <c r="G368" i="1" s="1"/>
  <c r="H368" i="1" s="1"/>
  <c r="F360" i="1"/>
  <c r="G360" i="1" s="1"/>
  <c r="H360" i="1" s="1"/>
  <c r="F352" i="1"/>
  <c r="G352" i="1" s="1"/>
  <c r="H352" i="1" s="1"/>
  <c r="F333" i="1"/>
  <c r="G333" i="1" s="1"/>
  <c r="H333" i="1" s="1"/>
  <c r="F313" i="1"/>
  <c r="G313" i="1" s="1"/>
  <c r="H313" i="1" s="1"/>
  <c r="F297" i="1"/>
  <c r="G297" i="1" s="1"/>
  <c r="H297" i="1" s="1"/>
  <c r="F280" i="1"/>
  <c r="G280" i="1" s="1"/>
  <c r="H280" i="1" s="1"/>
  <c r="F240" i="1"/>
  <c r="G240" i="1" s="1"/>
  <c r="H240" i="1" s="1"/>
  <c r="F192" i="1"/>
  <c r="G192" i="1" s="1"/>
  <c r="H192" i="1" s="1"/>
  <c r="F144" i="1"/>
  <c r="G144" i="1" s="1"/>
  <c r="H144" i="1" s="1"/>
  <c r="F96" i="1"/>
  <c r="G96" i="1" s="1"/>
  <c r="H96" i="1" s="1"/>
  <c r="F48" i="1"/>
  <c r="G48" i="1" s="1"/>
  <c r="H48" i="1" s="1"/>
  <c r="F847" i="1"/>
  <c r="G847" i="1" s="1"/>
  <c r="H847" i="1" s="1"/>
  <c r="F833" i="1"/>
  <c r="G833" i="1" s="1"/>
  <c r="H833" i="1" s="1"/>
  <c r="F821" i="1"/>
  <c r="G821" i="1" s="1"/>
  <c r="H821" i="1" s="1"/>
  <c r="F815" i="1"/>
  <c r="G815" i="1" s="1"/>
  <c r="H815" i="1" s="1"/>
  <c r="F809" i="1"/>
  <c r="G809" i="1" s="1"/>
  <c r="H809" i="1" s="1"/>
  <c r="F796" i="1"/>
  <c r="G796" i="1" s="1"/>
  <c r="H796" i="1" s="1"/>
  <c r="F783" i="1"/>
  <c r="G783" i="1" s="1"/>
  <c r="H783" i="1" s="1"/>
  <c r="F770" i="1"/>
  <c r="G770" i="1" s="1"/>
  <c r="H770" i="1" s="1"/>
  <c r="F757" i="1"/>
  <c r="G757" i="1" s="1"/>
  <c r="H757" i="1" s="1"/>
  <c r="F750" i="1"/>
  <c r="G750" i="1" s="1"/>
  <c r="H750" i="1" s="1"/>
  <c r="F737" i="1"/>
  <c r="G737" i="1" s="1"/>
  <c r="H737" i="1" s="1"/>
  <c r="F724" i="1"/>
  <c r="G724" i="1" s="1"/>
  <c r="H724" i="1" s="1"/>
  <c r="F711" i="1"/>
  <c r="G711" i="1" s="1"/>
  <c r="H711" i="1" s="1"/>
  <c r="F698" i="1"/>
  <c r="G698" i="1" s="1"/>
  <c r="H698" i="1" s="1"/>
  <c r="F685" i="1"/>
  <c r="G685" i="1" s="1"/>
  <c r="H685" i="1" s="1"/>
  <c r="F678" i="1"/>
  <c r="G678" i="1" s="1"/>
  <c r="H678" i="1" s="1"/>
  <c r="F671" i="1"/>
  <c r="G671" i="1" s="1"/>
  <c r="H671" i="1" s="1"/>
  <c r="F664" i="1"/>
  <c r="G664" i="1" s="1"/>
  <c r="H664" i="1" s="1"/>
  <c r="F654" i="1"/>
  <c r="G654" i="1" s="1"/>
  <c r="H654" i="1" s="1"/>
  <c r="F649" i="1"/>
  <c r="G649" i="1" s="1"/>
  <c r="H649" i="1" s="1"/>
  <c r="F629" i="1"/>
  <c r="G629" i="1" s="1"/>
  <c r="H629" i="1" s="1"/>
  <c r="F623" i="1"/>
  <c r="G623" i="1" s="1"/>
  <c r="H623" i="1" s="1"/>
  <c r="F594" i="1"/>
  <c r="G594" i="1" s="1"/>
  <c r="H594" i="1" s="1"/>
  <c r="F581" i="1"/>
  <c r="G581" i="1" s="1"/>
  <c r="H581" i="1" s="1"/>
  <c r="F575" i="1"/>
  <c r="G575" i="1" s="1"/>
  <c r="H575" i="1" s="1"/>
  <c r="F566" i="1"/>
  <c r="G566" i="1" s="1"/>
  <c r="H566" i="1" s="1"/>
  <c r="F559" i="1"/>
  <c r="G559" i="1" s="1"/>
  <c r="H559" i="1" s="1"/>
  <c r="F544" i="1"/>
  <c r="G544" i="1" s="1"/>
  <c r="H544" i="1" s="1"/>
  <c r="F536" i="1"/>
  <c r="G536" i="1" s="1"/>
  <c r="H536" i="1" s="1"/>
  <c r="F524" i="1"/>
  <c r="G524" i="1" s="1"/>
  <c r="H524" i="1" s="1"/>
  <c r="F503" i="1"/>
  <c r="G503" i="1" s="1"/>
  <c r="H503" i="1" s="1"/>
  <c r="F488" i="1"/>
  <c r="G488" i="1" s="1"/>
  <c r="H488" i="1" s="1"/>
  <c r="F480" i="1"/>
  <c r="G480" i="1" s="1"/>
  <c r="H480" i="1" s="1"/>
  <c r="F473" i="1"/>
  <c r="G473" i="1" s="1"/>
  <c r="H473" i="1" s="1"/>
  <c r="F450" i="1"/>
  <c r="G450" i="1" s="1"/>
  <c r="H450" i="1" s="1"/>
  <c r="F442" i="1"/>
  <c r="G442" i="1" s="1"/>
  <c r="H442" i="1" s="1"/>
  <c r="F434" i="1"/>
  <c r="G434" i="1" s="1"/>
  <c r="H434" i="1" s="1"/>
  <c r="F427" i="1"/>
  <c r="G427" i="1" s="1"/>
  <c r="H427" i="1" s="1"/>
  <c r="F411" i="1"/>
  <c r="G411" i="1" s="1"/>
  <c r="H411" i="1" s="1"/>
  <c r="F397" i="1"/>
  <c r="G397" i="1" s="1"/>
  <c r="H397" i="1" s="1"/>
  <c r="F389" i="1"/>
  <c r="G389" i="1" s="1"/>
  <c r="H389" i="1" s="1"/>
  <c r="F382" i="1"/>
  <c r="G382" i="1" s="1"/>
  <c r="H382" i="1" s="1"/>
  <c r="F367" i="1"/>
  <c r="G367" i="1" s="1"/>
  <c r="H367" i="1" s="1"/>
  <c r="F359" i="1"/>
  <c r="G359" i="1" s="1"/>
  <c r="H359" i="1" s="1"/>
  <c r="F332" i="1"/>
  <c r="G332" i="1" s="1"/>
  <c r="H332" i="1" s="1"/>
  <c r="F293" i="1"/>
  <c r="G293" i="1" s="1"/>
  <c r="H293" i="1" s="1"/>
  <c r="F277" i="1"/>
  <c r="G277" i="1" s="1"/>
  <c r="H277" i="1" s="1"/>
  <c r="F260" i="1"/>
  <c r="G260" i="1" s="1"/>
  <c r="H260" i="1" s="1"/>
  <c r="F232" i="1"/>
  <c r="G232" i="1" s="1"/>
  <c r="H232" i="1" s="1"/>
  <c r="F184" i="1"/>
  <c r="G184" i="1" s="1"/>
  <c r="H184" i="1" s="1"/>
  <c r="F136" i="1"/>
  <c r="G136" i="1" s="1"/>
  <c r="H136" i="1" s="1"/>
  <c r="F88" i="1"/>
  <c r="G88" i="1" s="1"/>
  <c r="H88" i="1" s="1"/>
  <c r="F40" i="1"/>
  <c r="G40" i="1" s="1"/>
  <c r="H40" i="1" s="1"/>
  <c r="F846" i="1"/>
  <c r="G846" i="1" s="1"/>
  <c r="H846" i="1" s="1"/>
  <c r="F839" i="1"/>
  <c r="G839" i="1" s="1"/>
  <c r="H839" i="1" s="1"/>
  <c r="F832" i="1"/>
  <c r="G832" i="1" s="1"/>
  <c r="H832" i="1" s="1"/>
  <c r="F820" i="1"/>
  <c r="G820" i="1" s="1"/>
  <c r="H820" i="1" s="1"/>
  <c r="F808" i="1"/>
  <c r="G808" i="1" s="1"/>
  <c r="H808" i="1" s="1"/>
  <c r="F795" i="1"/>
  <c r="G795" i="1" s="1"/>
  <c r="H795" i="1" s="1"/>
  <c r="F782" i="1"/>
  <c r="G782" i="1" s="1"/>
  <c r="H782" i="1" s="1"/>
  <c r="F769" i="1"/>
  <c r="G769" i="1" s="1"/>
  <c r="H769" i="1" s="1"/>
  <c r="F762" i="1"/>
  <c r="G762" i="1" s="1"/>
  <c r="H762" i="1" s="1"/>
  <c r="F749" i="1"/>
  <c r="G749" i="1" s="1"/>
  <c r="H749" i="1" s="1"/>
  <c r="F736" i="1"/>
  <c r="G736" i="1" s="1"/>
  <c r="H736" i="1" s="1"/>
  <c r="F723" i="1"/>
  <c r="G723" i="1" s="1"/>
  <c r="H723" i="1" s="1"/>
  <c r="F710" i="1"/>
  <c r="G710" i="1" s="1"/>
  <c r="H710" i="1" s="1"/>
  <c r="F697" i="1"/>
  <c r="G697" i="1" s="1"/>
  <c r="H697" i="1" s="1"/>
  <c r="F690" i="1"/>
  <c r="G690" i="1" s="1"/>
  <c r="H690" i="1" s="1"/>
  <c r="F663" i="1"/>
  <c r="G663" i="1" s="1"/>
  <c r="H663" i="1" s="1"/>
  <c r="F658" i="1"/>
  <c r="G658" i="1" s="1"/>
  <c r="H658" i="1" s="1"/>
  <c r="F633" i="1"/>
  <c r="G633" i="1" s="1"/>
  <c r="H633" i="1" s="1"/>
  <c r="F593" i="1"/>
  <c r="G593" i="1" s="1"/>
  <c r="H593" i="1" s="1"/>
  <c r="F580" i="1"/>
  <c r="G580" i="1" s="1"/>
  <c r="H580" i="1" s="1"/>
  <c r="F573" i="1"/>
  <c r="G573" i="1" s="1"/>
  <c r="H573" i="1" s="1"/>
  <c r="F564" i="1"/>
  <c r="G564" i="1" s="1"/>
  <c r="H564" i="1" s="1"/>
  <c r="F558" i="1"/>
  <c r="G558" i="1" s="1"/>
  <c r="H558" i="1" s="1"/>
  <c r="F543" i="1"/>
  <c r="G543" i="1" s="1"/>
  <c r="H543" i="1" s="1"/>
  <c r="F487" i="1"/>
  <c r="G487" i="1" s="1"/>
  <c r="H487" i="1" s="1"/>
  <c r="F479" i="1"/>
  <c r="G479" i="1" s="1"/>
  <c r="H479" i="1" s="1"/>
  <c r="F456" i="1"/>
  <c r="G456" i="1" s="1"/>
  <c r="H456" i="1" s="1"/>
  <c r="F441" i="1"/>
  <c r="G441" i="1" s="1"/>
  <c r="H441" i="1" s="1"/>
  <c r="F417" i="1"/>
  <c r="G417" i="1" s="1"/>
  <c r="H417" i="1" s="1"/>
  <c r="F402" i="1"/>
  <c r="G402" i="1" s="1"/>
  <c r="H402" i="1" s="1"/>
  <c r="F395" i="1"/>
  <c r="G395" i="1" s="1"/>
  <c r="H395" i="1" s="1"/>
  <c r="F381" i="1"/>
  <c r="G381" i="1" s="1"/>
  <c r="H381" i="1" s="1"/>
  <c r="F373" i="1"/>
  <c r="G373" i="1" s="1"/>
  <c r="H373" i="1" s="1"/>
  <c r="F366" i="1"/>
  <c r="G366" i="1" s="1"/>
  <c r="H366" i="1" s="1"/>
  <c r="F345" i="1"/>
  <c r="G345" i="1" s="1"/>
  <c r="H345" i="1" s="1"/>
  <c r="F328" i="1"/>
  <c r="G328" i="1" s="1"/>
  <c r="H328" i="1" s="1"/>
  <c r="F308" i="1"/>
  <c r="G308" i="1" s="1"/>
  <c r="H308" i="1" s="1"/>
  <c r="F256" i="1"/>
  <c r="G256" i="1" s="1"/>
  <c r="H256" i="1" s="1"/>
  <c r="F224" i="1"/>
  <c r="G224" i="1" s="1"/>
  <c r="H224" i="1" s="1"/>
  <c r="F176" i="1"/>
  <c r="G176" i="1" s="1"/>
  <c r="H176" i="1" s="1"/>
  <c r="F128" i="1"/>
  <c r="G128" i="1" s="1"/>
  <c r="H128" i="1" s="1"/>
  <c r="F80" i="1"/>
  <c r="G80" i="1" s="1"/>
  <c r="H80" i="1" s="1"/>
  <c r="F32" i="1"/>
  <c r="G32" i="1" s="1"/>
  <c r="H32" i="1" s="1"/>
  <c r="F845" i="1"/>
  <c r="G845" i="1" s="1"/>
  <c r="H845" i="1" s="1"/>
  <c r="F826" i="1"/>
  <c r="G826" i="1" s="1"/>
  <c r="H826" i="1" s="1"/>
  <c r="F801" i="1"/>
  <c r="G801" i="1" s="1"/>
  <c r="H801" i="1" s="1"/>
  <c r="F788" i="1"/>
  <c r="G788" i="1" s="1"/>
  <c r="H788" i="1" s="1"/>
  <c r="F775" i="1"/>
  <c r="G775" i="1" s="1"/>
  <c r="H775" i="1" s="1"/>
  <c r="F768" i="1"/>
  <c r="G768" i="1" s="1"/>
  <c r="H768" i="1" s="1"/>
  <c r="F755" i="1"/>
  <c r="G755" i="1" s="1"/>
  <c r="H755" i="1" s="1"/>
  <c r="F742" i="1"/>
  <c r="G742" i="1" s="1"/>
  <c r="H742" i="1" s="1"/>
  <c r="F729" i="1"/>
  <c r="G729" i="1" s="1"/>
  <c r="H729" i="1" s="1"/>
  <c r="F716" i="1"/>
  <c r="G716" i="1" s="1"/>
  <c r="H716" i="1" s="1"/>
  <c r="F703" i="1"/>
  <c r="G703" i="1" s="1"/>
  <c r="H703" i="1" s="1"/>
  <c r="F696" i="1"/>
  <c r="G696" i="1" s="1"/>
  <c r="H696" i="1" s="1"/>
  <c r="F683" i="1"/>
  <c r="G683" i="1" s="1"/>
  <c r="H683" i="1" s="1"/>
  <c r="F676" i="1"/>
  <c r="G676" i="1" s="1"/>
  <c r="H676" i="1" s="1"/>
  <c r="F669" i="1"/>
  <c r="G669" i="1" s="1"/>
  <c r="H669" i="1" s="1"/>
  <c r="F653" i="1"/>
  <c r="G653" i="1" s="1"/>
  <c r="H653" i="1" s="1"/>
  <c r="F647" i="1"/>
  <c r="G647" i="1" s="1"/>
  <c r="H647" i="1" s="1"/>
  <c r="F627" i="1"/>
  <c r="G627" i="1" s="1"/>
  <c r="H627" i="1" s="1"/>
  <c r="F622" i="1"/>
  <c r="G622" i="1" s="1"/>
  <c r="H622" i="1" s="1"/>
  <c r="F612" i="1"/>
  <c r="G612" i="1" s="1"/>
  <c r="H612" i="1" s="1"/>
  <c r="F606" i="1"/>
  <c r="G606" i="1" s="1"/>
  <c r="H606" i="1" s="1"/>
  <c r="F600" i="1"/>
  <c r="G600" i="1" s="1"/>
  <c r="H600" i="1" s="1"/>
  <c r="F592" i="1"/>
  <c r="G592" i="1" s="1"/>
  <c r="H592" i="1" s="1"/>
  <c r="F585" i="1"/>
  <c r="G585" i="1" s="1"/>
  <c r="H585" i="1" s="1"/>
  <c r="F579" i="1"/>
  <c r="G579" i="1" s="1"/>
  <c r="H579" i="1" s="1"/>
  <c r="F572" i="1"/>
  <c r="G572" i="1" s="1"/>
  <c r="H572" i="1" s="1"/>
  <c r="F542" i="1"/>
  <c r="G542" i="1" s="1"/>
  <c r="H542" i="1" s="1"/>
  <c r="F535" i="1"/>
  <c r="G535" i="1" s="1"/>
  <c r="H535" i="1" s="1"/>
  <c r="F529" i="1"/>
  <c r="G529" i="1" s="1"/>
  <c r="H529" i="1" s="1"/>
  <c r="F522" i="1"/>
  <c r="G522" i="1" s="1"/>
  <c r="H522" i="1" s="1"/>
  <c r="F514" i="1"/>
  <c r="G514" i="1" s="1"/>
  <c r="H514" i="1" s="1"/>
  <c r="F508" i="1"/>
  <c r="G508" i="1" s="1"/>
  <c r="H508" i="1" s="1"/>
  <c r="F501" i="1"/>
  <c r="G501" i="1" s="1"/>
  <c r="H501" i="1" s="1"/>
  <c r="F494" i="1"/>
  <c r="G494" i="1" s="1"/>
  <c r="H494" i="1" s="1"/>
  <c r="F486" i="1"/>
  <c r="G486" i="1" s="1"/>
  <c r="H486" i="1" s="1"/>
  <c r="F471" i="1"/>
  <c r="G471" i="1" s="1"/>
  <c r="H471" i="1" s="1"/>
  <c r="F463" i="1"/>
  <c r="G463" i="1" s="1"/>
  <c r="H463" i="1" s="1"/>
  <c r="F448" i="1"/>
  <c r="G448" i="1" s="1"/>
  <c r="H448" i="1" s="1"/>
  <c r="F440" i="1"/>
  <c r="G440" i="1" s="1"/>
  <c r="H440" i="1" s="1"/>
  <c r="F432" i="1"/>
  <c r="G432" i="1" s="1"/>
  <c r="H432" i="1" s="1"/>
  <c r="F425" i="1"/>
  <c r="G425" i="1" s="1"/>
  <c r="H425" i="1" s="1"/>
  <c r="F409" i="1"/>
  <c r="G409" i="1" s="1"/>
  <c r="H409" i="1" s="1"/>
  <c r="F394" i="1"/>
  <c r="G394" i="1" s="1"/>
  <c r="H394" i="1" s="1"/>
  <c r="F387" i="1"/>
  <c r="G387" i="1" s="1"/>
  <c r="H387" i="1" s="1"/>
  <c r="F380" i="1"/>
  <c r="G380" i="1" s="1"/>
  <c r="H380" i="1" s="1"/>
  <c r="F372" i="1"/>
  <c r="G372" i="1" s="1"/>
  <c r="H372" i="1" s="1"/>
  <c r="F325" i="1"/>
  <c r="G325" i="1" s="1"/>
  <c r="H325" i="1" s="1"/>
  <c r="F289" i="1"/>
  <c r="G289" i="1" s="1"/>
  <c r="H289" i="1" s="1"/>
  <c r="F273" i="1"/>
  <c r="G273" i="1" s="1"/>
  <c r="H273" i="1" s="1"/>
  <c r="F220" i="1"/>
  <c r="G220" i="1" s="1"/>
  <c r="H220" i="1" s="1"/>
  <c r="F172" i="1"/>
  <c r="G172" i="1" s="1"/>
  <c r="H172" i="1" s="1"/>
  <c r="F124" i="1"/>
  <c r="G124" i="1" s="1"/>
  <c r="H124" i="1" s="1"/>
  <c r="F76" i="1"/>
  <c r="G76" i="1" s="1"/>
  <c r="H76" i="1" s="1"/>
  <c r="F28" i="1"/>
  <c r="G28" i="1" s="1"/>
  <c r="H28" i="1" s="1"/>
  <c r="F844" i="1"/>
  <c r="G844" i="1" s="1"/>
  <c r="H844" i="1" s="1"/>
  <c r="F838" i="1"/>
  <c r="G838" i="1" s="1"/>
  <c r="H838" i="1" s="1"/>
  <c r="F825" i="1"/>
  <c r="G825" i="1" s="1"/>
  <c r="H825" i="1" s="1"/>
  <c r="F813" i="1"/>
  <c r="G813" i="1" s="1"/>
  <c r="H813" i="1" s="1"/>
  <c r="F807" i="1"/>
  <c r="G807" i="1" s="1"/>
  <c r="H807" i="1" s="1"/>
  <c r="F794" i="1"/>
  <c r="G794" i="1" s="1"/>
  <c r="H794" i="1" s="1"/>
  <c r="F781" i="1"/>
  <c r="G781" i="1" s="1"/>
  <c r="H781" i="1" s="1"/>
  <c r="F774" i="1"/>
  <c r="G774" i="1" s="1"/>
  <c r="H774" i="1" s="1"/>
  <c r="F761" i="1"/>
  <c r="G761" i="1" s="1"/>
  <c r="H761" i="1" s="1"/>
  <c r="F748" i="1"/>
  <c r="G748" i="1" s="1"/>
  <c r="H748" i="1" s="1"/>
  <c r="F735" i="1"/>
  <c r="G735" i="1" s="1"/>
  <c r="H735" i="1" s="1"/>
  <c r="F722" i="1"/>
  <c r="G722" i="1" s="1"/>
  <c r="H722" i="1" s="1"/>
  <c r="F709" i="1"/>
  <c r="G709" i="1" s="1"/>
  <c r="H709" i="1" s="1"/>
  <c r="F702" i="1"/>
  <c r="G702" i="1" s="1"/>
  <c r="H702" i="1" s="1"/>
  <c r="F689" i="1"/>
  <c r="G689" i="1" s="1"/>
  <c r="H689" i="1" s="1"/>
  <c r="F668" i="1"/>
  <c r="G668" i="1" s="1"/>
  <c r="H668" i="1" s="1"/>
  <c r="F652" i="1"/>
  <c r="G652" i="1" s="1"/>
  <c r="H652" i="1" s="1"/>
  <c r="F642" i="1"/>
  <c r="G642" i="1" s="1"/>
  <c r="H642" i="1" s="1"/>
  <c r="F637" i="1"/>
  <c r="G637" i="1" s="1"/>
  <c r="H637" i="1" s="1"/>
  <c r="F632" i="1"/>
  <c r="G632" i="1" s="1"/>
  <c r="H632" i="1" s="1"/>
  <c r="F617" i="1"/>
  <c r="G617" i="1" s="1"/>
  <c r="H617" i="1" s="1"/>
  <c r="F584" i="1"/>
  <c r="G584" i="1" s="1"/>
  <c r="H584" i="1" s="1"/>
  <c r="F571" i="1"/>
  <c r="G571" i="1" s="1"/>
  <c r="H571" i="1" s="1"/>
  <c r="F563" i="1"/>
  <c r="G563" i="1" s="1"/>
  <c r="H563" i="1" s="1"/>
  <c r="F551" i="1"/>
  <c r="G551" i="1" s="1"/>
  <c r="H551" i="1" s="1"/>
  <c r="F541" i="1"/>
  <c r="G541" i="1" s="1"/>
  <c r="H541" i="1" s="1"/>
  <c r="F521" i="1"/>
  <c r="G521" i="1" s="1"/>
  <c r="H521" i="1" s="1"/>
  <c r="F507" i="1"/>
  <c r="G507" i="1" s="1"/>
  <c r="H507" i="1" s="1"/>
  <c r="F500" i="1"/>
  <c r="G500" i="1" s="1"/>
  <c r="H500" i="1" s="1"/>
  <c r="F485" i="1"/>
  <c r="G485" i="1" s="1"/>
  <c r="H485" i="1" s="1"/>
  <c r="F478" i="1"/>
  <c r="G478" i="1" s="1"/>
  <c r="H478" i="1" s="1"/>
  <c r="F470" i="1"/>
  <c r="G470" i="1" s="1"/>
  <c r="H470" i="1" s="1"/>
  <c r="F455" i="1"/>
  <c r="G455" i="1" s="1"/>
  <c r="H455" i="1" s="1"/>
  <c r="F424" i="1"/>
  <c r="G424" i="1" s="1"/>
  <c r="H424" i="1" s="1"/>
  <c r="F416" i="1"/>
  <c r="G416" i="1" s="1"/>
  <c r="H416" i="1" s="1"/>
  <c r="F408" i="1"/>
  <c r="G408" i="1" s="1"/>
  <c r="H408" i="1" s="1"/>
  <c r="F401" i="1"/>
  <c r="G401" i="1" s="1"/>
  <c r="H401" i="1" s="1"/>
  <c r="F386" i="1"/>
  <c r="G386" i="1" s="1"/>
  <c r="H386" i="1" s="1"/>
  <c r="F379" i="1"/>
  <c r="G379" i="1" s="1"/>
  <c r="H379" i="1" s="1"/>
  <c r="F365" i="1"/>
  <c r="G365" i="1" s="1"/>
  <c r="H365" i="1" s="1"/>
  <c r="F357" i="1"/>
  <c r="G357" i="1" s="1"/>
  <c r="H357" i="1" s="1"/>
  <c r="F344" i="1"/>
  <c r="G344" i="1" s="1"/>
  <c r="H344" i="1" s="1"/>
  <c r="F324" i="1"/>
  <c r="G324" i="1" s="1"/>
  <c r="H324" i="1" s="1"/>
  <c r="F305" i="1"/>
  <c r="G305" i="1" s="1"/>
  <c r="H305" i="1" s="1"/>
  <c r="F288" i="1"/>
  <c r="G288" i="1" s="1"/>
  <c r="H288" i="1" s="1"/>
  <c r="F272" i="1"/>
  <c r="G272" i="1" s="1"/>
  <c r="H272" i="1" s="1"/>
  <c r="F253" i="1"/>
  <c r="G253" i="1" s="1"/>
  <c r="H253" i="1" s="1"/>
  <c r="F216" i="1"/>
  <c r="G216" i="1" s="1"/>
  <c r="H216" i="1" s="1"/>
  <c r="F168" i="1"/>
  <c r="G168" i="1" s="1"/>
  <c r="H168" i="1" s="1"/>
  <c r="F120" i="1"/>
  <c r="G120" i="1" s="1"/>
  <c r="H120" i="1" s="1"/>
  <c r="F72" i="1"/>
  <c r="G72" i="1" s="1"/>
  <c r="H72" i="1" s="1"/>
  <c r="F24" i="1"/>
  <c r="G24" i="1" s="1"/>
  <c r="H24" i="1" s="1"/>
  <c r="F837" i="1"/>
  <c r="G837" i="1" s="1"/>
  <c r="H837" i="1" s="1"/>
  <c r="F831" i="1"/>
  <c r="G831" i="1" s="1"/>
  <c r="H831" i="1" s="1"/>
  <c r="F819" i="1"/>
  <c r="G819" i="1" s="1"/>
  <c r="H819" i="1" s="1"/>
  <c r="F800" i="1"/>
  <c r="G800" i="1" s="1"/>
  <c r="H800" i="1" s="1"/>
  <c r="F787" i="1"/>
  <c r="G787" i="1" s="1"/>
  <c r="H787" i="1" s="1"/>
  <c r="F780" i="1"/>
  <c r="G780" i="1" s="1"/>
  <c r="H780" i="1" s="1"/>
  <c r="F767" i="1"/>
  <c r="G767" i="1" s="1"/>
  <c r="H767" i="1" s="1"/>
  <c r="F754" i="1"/>
  <c r="G754" i="1" s="1"/>
  <c r="H754" i="1" s="1"/>
  <c r="F741" i="1"/>
  <c r="G741" i="1" s="1"/>
  <c r="H741" i="1" s="1"/>
  <c r="F728" i="1"/>
  <c r="G728" i="1" s="1"/>
  <c r="H728" i="1" s="1"/>
  <c r="F715" i="1"/>
  <c r="G715" i="1" s="1"/>
  <c r="H715" i="1" s="1"/>
  <c r="F708" i="1"/>
  <c r="G708" i="1" s="1"/>
  <c r="H708" i="1" s="1"/>
  <c r="F695" i="1"/>
  <c r="G695" i="1" s="1"/>
  <c r="H695" i="1" s="1"/>
  <c r="F682" i="1"/>
  <c r="G682" i="1" s="1"/>
  <c r="H682" i="1" s="1"/>
  <c r="F675" i="1"/>
  <c r="G675" i="1" s="1"/>
  <c r="H675" i="1" s="1"/>
  <c r="F662" i="1"/>
  <c r="G662" i="1" s="1"/>
  <c r="H662" i="1" s="1"/>
  <c r="F657" i="1"/>
  <c r="G657" i="1" s="1"/>
  <c r="H657" i="1" s="1"/>
  <c r="F616" i="1"/>
  <c r="G616" i="1" s="1"/>
  <c r="H616" i="1" s="1"/>
  <c r="F611" i="1"/>
  <c r="G611" i="1" s="1"/>
  <c r="H611" i="1" s="1"/>
  <c r="F591" i="1"/>
  <c r="G591" i="1" s="1"/>
  <c r="H591" i="1" s="1"/>
  <c r="F578" i="1"/>
  <c r="G578" i="1" s="1"/>
  <c r="H578" i="1" s="1"/>
  <c r="F557" i="1"/>
  <c r="G557" i="1" s="1"/>
  <c r="H557" i="1" s="1"/>
  <c r="F550" i="1"/>
  <c r="G550" i="1" s="1"/>
  <c r="H550" i="1" s="1"/>
  <c r="F540" i="1"/>
  <c r="G540" i="1" s="1"/>
  <c r="H540" i="1" s="1"/>
  <c r="F534" i="1"/>
  <c r="G534" i="1" s="1"/>
  <c r="H534" i="1" s="1"/>
  <c r="F528" i="1"/>
  <c r="G528" i="1" s="1"/>
  <c r="H528" i="1" s="1"/>
  <c r="F520" i="1"/>
  <c r="G520" i="1" s="1"/>
  <c r="H520" i="1" s="1"/>
  <c r="F513" i="1"/>
  <c r="G513" i="1" s="1"/>
  <c r="H513" i="1" s="1"/>
  <c r="F493" i="1"/>
  <c r="G493" i="1" s="1"/>
  <c r="H493" i="1" s="1"/>
  <c r="F484" i="1"/>
  <c r="G484" i="1" s="1"/>
  <c r="H484" i="1" s="1"/>
  <c r="F469" i="1"/>
  <c r="G469" i="1" s="1"/>
  <c r="H469" i="1" s="1"/>
  <c r="F462" i="1"/>
  <c r="G462" i="1" s="1"/>
  <c r="H462" i="1" s="1"/>
  <c r="F454" i="1"/>
  <c r="G454" i="1" s="1"/>
  <c r="H454" i="1" s="1"/>
  <c r="F447" i="1"/>
  <c r="G447" i="1" s="1"/>
  <c r="H447" i="1" s="1"/>
  <c r="F439" i="1"/>
  <c r="G439" i="1" s="1"/>
  <c r="H439" i="1" s="1"/>
  <c r="F431" i="1"/>
  <c r="G431" i="1" s="1"/>
  <c r="H431" i="1" s="1"/>
  <c r="F393" i="1"/>
  <c r="G393" i="1" s="1"/>
  <c r="H393" i="1" s="1"/>
  <c r="F378" i="1"/>
  <c r="G378" i="1" s="1"/>
  <c r="H378" i="1" s="1"/>
  <c r="F371" i="1"/>
  <c r="G371" i="1" s="1"/>
  <c r="H371" i="1" s="1"/>
  <c r="F364" i="1"/>
  <c r="G364" i="1" s="1"/>
  <c r="H364" i="1" s="1"/>
  <c r="F321" i="1"/>
  <c r="G321" i="1" s="1"/>
  <c r="H321" i="1" s="1"/>
  <c r="F304" i="1"/>
  <c r="G304" i="1" s="1"/>
  <c r="H304" i="1" s="1"/>
  <c r="F269" i="1"/>
  <c r="G269" i="1" s="1"/>
  <c r="H269" i="1" s="1"/>
  <c r="F252" i="1"/>
  <c r="G252" i="1" s="1"/>
  <c r="H252" i="1" s="1"/>
  <c r="F212" i="1"/>
  <c r="G212" i="1" s="1"/>
  <c r="H212" i="1" s="1"/>
  <c r="F164" i="1"/>
  <c r="G164" i="1" s="1"/>
  <c r="H164" i="1" s="1"/>
  <c r="F116" i="1"/>
  <c r="G116" i="1" s="1"/>
  <c r="H116" i="1" s="1"/>
  <c r="F68" i="1"/>
  <c r="G68" i="1" s="1"/>
  <c r="H68" i="1" s="1"/>
  <c r="F20" i="1"/>
  <c r="G20" i="1" s="1"/>
  <c r="H20" i="1" s="1"/>
  <c r="H32" i="2"/>
  <c r="H35" i="2" s="1"/>
  <c r="I29" i="2"/>
  <c r="H37" i="2"/>
  <c r="F245" i="1"/>
  <c r="G245" i="1" s="1"/>
  <c r="H245" i="1" s="1"/>
  <c r="F241" i="1"/>
  <c r="G241" i="1" s="1"/>
  <c r="H241" i="1" s="1"/>
  <c r="F237" i="1"/>
  <c r="G237" i="1" s="1"/>
  <c r="H237" i="1" s="1"/>
  <c r="F233" i="1"/>
  <c r="G233" i="1" s="1"/>
  <c r="H233" i="1" s="1"/>
  <c r="F229" i="1"/>
  <c r="G229" i="1" s="1"/>
  <c r="H229" i="1" s="1"/>
  <c r="F225" i="1"/>
  <c r="G225" i="1" s="1"/>
  <c r="H225" i="1" s="1"/>
  <c r="F221" i="1"/>
  <c r="G221" i="1" s="1"/>
  <c r="H221" i="1" s="1"/>
  <c r="F217" i="1"/>
  <c r="G217" i="1" s="1"/>
  <c r="H217" i="1" s="1"/>
  <c r="F213" i="1"/>
  <c r="G213" i="1" s="1"/>
  <c r="H213" i="1" s="1"/>
  <c r="F209" i="1"/>
  <c r="G209" i="1" s="1"/>
  <c r="H209" i="1" s="1"/>
  <c r="F205" i="1"/>
  <c r="G205" i="1" s="1"/>
  <c r="H205" i="1" s="1"/>
  <c r="F201" i="1"/>
  <c r="G201" i="1" s="1"/>
  <c r="H201" i="1" s="1"/>
  <c r="F197" i="1"/>
  <c r="G197" i="1" s="1"/>
  <c r="H197" i="1" s="1"/>
  <c r="F193" i="1"/>
  <c r="G193" i="1" s="1"/>
  <c r="H193" i="1" s="1"/>
  <c r="F189" i="1"/>
  <c r="G189" i="1" s="1"/>
  <c r="H189" i="1" s="1"/>
  <c r="F185" i="1"/>
  <c r="G185" i="1" s="1"/>
  <c r="H185" i="1" s="1"/>
  <c r="F181" i="1"/>
  <c r="G181" i="1" s="1"/>
  <c r="H181" i="1" s="1"/>
  <c r="F177" i="1"/>
  <c r="G177" i="1" s="1"/>
  <c r="H177" i="1" s="1"/>
  <c r="F173" i="1"/>
  <c r="G173" i="1" s="1"/>
  <c r="H173" i="1" s="1"/>
  <c r="F169" i="1"/>
  <c r="G169" i="1" s="1"/>
  <c r="H169" i="1" s="1"/>
  <c r="F165" i="1"/>
  <c r="G165" i="1" s="1"/>
  <c r="H165" i="1" s="1"/>
  <c r="F161" i="1"/>
  <c r="G161" i="1" s="1"/>
  <c r="H161" i="1" s="1"/>
  <c r="F157" i="1"/>
  <c r="G157" i="1" s="1"/>
  <c r="H157" i="1" s="1"/>
  <c r="F153" i="1"/>
  <c r="G153" i="1" s="1"/>
  <c r="H153" i="1" s="1"/>
  <c r="F149" i="1"/>
  <c r="G149" i="1" s="1"/>
  <c r="H149" i="1" s="1"/>
  <c r="F145" i="1"/>
  <c r="G145" i="1" s="1"/>
  <c r="H145" i="1" s="1"/>
  <c r="F141" i="1"/>
  <c r="G141" i="1" s="1"/>
  <c r="H141" i="1" s="1"/>
  <c r="F137" i="1"/>
  <c r="G137" i="1" s="1"/>
  <c r="H137" i="1" s="1"/>
  <c r="F133" i="1"/>
  <c r="G133" i="1" s="1"/>
  <c r="H133" i="1" s="1"/>
  <c r="F129" i="1"/>
  <c r="G129" i="1" s="1"/>
  <c r="H129" i="1" s="1"/>
  <c r="F125" i="1"/>
  <c r="G125" i="1" s="1"/>
  <c r="H125" i="1" s="1"/>
  <c r="F121" i="1"/>
  <c r="G121" i="1" s="1"/>
  <c r="H121" i="1" s="1"/>
  <c r="F117" i="1"/>
  <c r="G117" i="1" s="1"/>
  <c r="H117" i="1" s="1"/>
  <c r="F113" i="1"/>
  <c r="G113" i="1" s="1"/>
  <c r="H113" i="1" s="1"/>
  <c r="F109" i="1"/>
  <c r="G109" i="1" s="1"/>
  <c r="H109" i="1" s="1"/>
  <c r="F105" i="1"/>
  <c r="G105" i="1" s="1"/>
  <c r="H105" i="1" s="1"/>
  <c r="F101" i="1"/>
  <c r="G101" i="1" s="1"/>
  <c r="H101" i="1" s="1"/>
  <c r="F97" i="1"/>
  <c r="G97" i="1" s="1"/>
  <c r="H97" i="1" s="1"/>
  <c r="F93" i="1"/>
  <c r="G93" i="1" s="1"/>
  <c r="H93" i="1" s="1"/>
  <c r="F89" i="1"/>
  <c r="G89" i="1" s="1"/>
  <c r="H89" i="1" s="1"/>
  <c r="F85" i="1"/>
  <c r="G85" i="1" s="1"/>
  <c r="H85" i="1" s="1"/>
  <c r="F81" i="1"/>
  <c r="G81" i="1" s="1"/>
  <c r="H81" i="1" s="1"/>
  <c r="F77" i="1"/>
  <c r="G77" i="1" s="1"/>
  <c r="H77" i="1" s="1"/>
  <c r="F73" i="1"/>
  <c r="G73" i="1" s="1"/>
  <c r="H73" i="1" s="1"/>
  <c r="F69" i="1"/>
  <c r="G69" i="1" s="1"/>
  <c r="H69" i="1" s="1"/>
  <c r="F65" i="1"/>
  <c r="G65" i="1" s="1"/>
  <c r="H65" i="1" s="1"/>
  <c r="F61" i="1"/>
  <c r="G61" i="1" s="1"/>
  <c r="H61" i="1" s="1"/>
  <c r="F57" i="1"/>
  <c r="G57" i="1" s="1"/>
  <c r="H57" i="1" s="1"/>
  <c r="F53" i="1"/>
  <c r="G53" i="1" s="1"/>
  <c r="H53" i="1" s="1"/>
  <c r="F49" i="1"/>
  <c r="G49" i="1" s="1"/>
  <c r="H49" i="1" s="1"/>
  <c r="F45" i="1"/>
  <c r="G45" i="1" s="1"/>
  <c r="H45" i="1" s="1"/>
  <c r="F41" i="1"/>
  <c r="G41" i="1" s="1"/>
  <c r="H41" i="1" s="1"/>
  <c r="F37" i="1"/>
  <c r="G37" i="1" s="1"/>
  <c r="H37" i="1" s="1"/>
  <c r="F33" i="1"/>
  <c r="G33" i="1" s="1"/>
  <c r="H33" i="1" s="1"/>
  <c r="F29" i="1"/>
  <c r="G29" i="1" s="1"/>
  <c r="H29" i="1" s="1"/>
  <c r="F25" i="1"/>
  <c r="G25" i="1" s="1"/>
  <c r="H25" i="1" s="1"/>
  <c r="F21" i="1"/>
  <c r="G21" i="1" s="1"/>
  <c r="H21" i="1" s="1"/>
  <c r="F355" i="1"/>
  <c r="G355" i="1" s="1"/>
  <c r="H355" i="1" s="1"/>
  <c r="F351" i="1"/>
  <c r="G351" i="1" s="1"/>
  <c r="H351" i="1" s="1"/>
  <c r="F347" i="1"/>
  <c r="G347" i="1" s="1"/>
  <c r="H347" i="1" s="1"/>
  <c r="F343" i="1"/>
  <c r="G343" i="1" s="1"/>
  <c r="H343" i="1" s="1"/>
  <c r="F339" i="1"/>
  <c r="G339" i="1" s="1"/>
  <c r="H339" i="1" s="1"/>
  <c r="F335" i="1"/>
  <c r="G335" i="1" s="1"/>
  <c r="H335" i="1" s="1"/>
  <c r="F331" i="1"/>
  <c r="G331" i="1" s="1"/>
  <c r="H331" i="1" s="1"/>
  <c r="F327" i="1"/>
  <c r="G327" i="1" s="1"/>
  <c r="H327" i="1" s="1"/>
  <c r="F323" i="1"/>
  <c r="G323" i="1" s="1"/>
  <c r="H323" i="1" s="1"/>
  <c r="F319" i="1"/>
  <c r="G319" i="1" s="1"/>
  <c r="H319" i="1" s="1"/>
  <c r="F315" i="1"/>
  <c r="G315" i="1" s="1"/>
  <c r="H315" i="1" s="1"/>
  <c r="F311" i="1"/>
  <c r="G311" i="1" s="1"/>
  <c r="H311" i="1" s="1"/>
  <c r="F307" i="1"/>
  <c r="G307" i="1" s="1"/>
  <c r="H307" i="1" s="1"/>
  <c r="F303" i="1"/>
  <c r="G303" i="1" s="1"/>
  <c r="H303" i="1" s="1"/>
  <c r="F299" i="1"/>
  <c r="G299" i="1" s="1"/>
  <c r="H299" i="1" s="1"/>
  <c r="F295" i="1"/>
  <c r="G295" i="1" s="1"/>
  <c r="H295" i="1" s="1"/>
  <c r="F291" i="1"/>
  <c r="G291" i="1" s="1"/>
  <c r="H291" i="1" s="1"/>
  <c r="F287" i="1"/>
  <c r="G287" i="1" s="1"/>
  <c r="H287" i="1" s="1"/>
  <c r="F283" i="1"/>
  <c r="G283" i="1" s="1"/>
  <c r="H283" i="1" s="1"/>
  <c r="F279" i="1"/>
  <c r="G279" i="1" s="1"/>
  <c r="H279" i="1" s="1"/>
  <c r="F275" i="1"/>
  <c r="G275" i="1" s="1"/>
  <c r="H275" i="1" s="1"/>
  <c r="F271" i="1"/>
  <c r="G271" i="1" s="1"/>
  <c r="H271" i="1" s="1"/>
  <c r="F267" i="1"/>
  <c r="G267" i="1" s="1"/>
  <c r="H267" i="1" s="1"/>
  <c r="F263" i="1"/>
  <c r="G263" i="1" s="1"/>
  <c r="H263" i="1" s="1"/>
  <c r="F259" i="1"/>
  <c r="G259" i="1" s="1"/>
  <c r="H259" i="1" s="1"/>
  <c r="F255" i="1"/>
  <c r="G255" i="1" s="1"/>
  <c r="H255" i="1" s="1"/>
  <c r="F251" i="1"/>
  <c r="G251" i="1" s="1"/>
  <c r="H251" i="1" s="1"/>
  <c r="F247" i="1"/>
  <c r="G247" i="1" s="1"/>
  <c r="H247" i="1" s="1"/>
  <c r="F243" i="1"/>
  <c r="G243" i="1" s="1"/>
  <c r="H243" i="1" s="1"/>
  <c r="F239" i="1"/>
  <c r="G239" i="1" s="1"/>
  <c r="H239" i="1" s="1"/>
  <c r="F235" i="1"/>
  <c r="G235" i="1" s="1"/>
  <c r="H235" i="1" s="1"/>
  <c r="F231" i="1"/>
  <c r="G231" i="1" s="1"/>
  <c r="H231" i="1" s="1"/>
  <c r="F227" i="1"/>
  <c r="G227" i="1" s="1"/>
  <c r="H227" i="1" s="1"/>
  <c r="F223" i="1"/>
  <c r="G223" i="1" s="1"/>
  <c r="H223" i="1" s="1"/>
  <c r="F219" i="1"/>
  <c r="G219" i="1" s="1"/>
  <c r="H219" i="1" s="1"/>
  <c r="F215" i="1"/>
  <c r="G215" i="1" s="1"/>
  <c r="H215" i="1" s="1"/>
  <c r="F211" i="1"/>
  <c r="G211" i="1" s="1"/>
  <c r="H211" i="1" s="1"/>
  <c r="F207" i="1"/>
  <c r="G207" i="1" s="1"/>
  <c r="H207" i="1" s="1"/>
  <c r="F203" i="1"/>
  <c r="G203" i="1" s="1"/>
  <c r="H203" i="1" s="1"/>
  <c r="F199" i="1"/>
  <c r="G199" i="1" s="1"/>
  <c r="H199" i="1" s="1"/>
  <c r="F195" i="1"/>
  <c r="G195" i="1" s="1"/>
  <c r="H195" i="1" s="1"/>
  <c r="F191" i="1"/>
  <c r="G191" i="1" s="1"/>
  <c r="H191" i="1" s="1"/>
  <c r="F187" i="1"/>
  <c r="G187" i="1" s="1"/>
  <c r="H187" i="1" s="1"/>
  <c r="F183" i="1"/>
  <c r="G183" i="1" s="1"/>
  <c r="H183" i="1" s="1"/>
  <c r="F179" i="1"/>
  <c r="G179" i="1" s="1"/>
  <c r="H179" i="1" s="1"/>
  <c r="F175" i="1"/>
  <c r="G175" i="1" s="1"/>
  <c r="H175" i="1" s="1"/>
  <c r="F171" i="1"/>
  <c r="G171" i="1" s="1"/>
  <c r="H171" i="1" s="1"/>
  <c r="F167" i="1"/>
  <c r="G167" i="1" s="1"/>
  <c r="H167" i="1" s="1"/>
  <c r="F163" i="1"/>
  <c r="G163" i="1" s="1"/>
  <c r="H163" i="1" s="1"/>
  <c r="F159" i="1"/>
  <c r="G159" i="1" s="1"/>
  <c r="H159" i="1" s="1"/>
  <c r="F155" i="1"/>
  <c r="G155" i="1" s="1"/>
  <c r="H155" i="1" s="1"/>
  <c r="F151" i="1"/>
  <c r="G151" i="1" s="1"/>
  <c r="H151" i="1" s="1"/>
  <c r="F147" i="1"/>
  <c r="G147" i="1" s="1"/>
  <c r="H147" i="1" s="1"/>
  <c r="F143" i="1"/>
  <c r="G143" i="1" s="1"/>
  <c r="H143" i="1" s="1"/>
  <c r="F139" i="1"/>
  <c r="G139" i="1" s="1"/>
  <c r="H139" i="1" s="1"/>
  <c r="F135" i="1"/>
  <c r="G135" i="1" s="1"/>
  <c r="H135" i="1" s="1"/>
  <c r="F131" i="1"/>
  <c r="G131" i="1" s="1"/>
  <c r="H131" i="1" s="1"/>
  <c r="F127" i="1"/>
  <c r="G127" i="1" s="1"/>
  <c r="H127" i="1" s="1"/>
  <c r="F123" i="1"/>
  <c r="G123" i="1" s="1"/>
  <c r="H123" i="1" s="1"/>
  <c r="F119" i="1"/>
  <c r="G119" i="1" s="1"/>
  <c r="H119" i="1" s="1"/>
  <c r="F115" i="1"/>
  <c r="G115" i="1" s="1"/>
  <c r="H115" i="1" s="1"/>
  <c r="F111" i="1"/>
  <c r="G111" i="1" s="1"/>
  <c r="H111" i="1" s="1"/>
  <c r="F107" i="1"/>
  <c r="G107" i="1" s="1"/>
  <c r="H107" i="1" s="1"/>
  <c r="F103" i="1"/>
  <c r="G103" i="1" s="1"/>
  <c r="H103" i="1" s="1"/>
  <c r="F99" i="1"/>
  <c r="G99" i="1" s="1"/>
  <c r="H99" i="1" s="1"/>
  <c r="F95" i="1"/>
  <c r="G95" i="1" s="1"/>
  <c r="H95" i="1" s="1"/>
  <c r="F91" i="1"/>
  <c r="G91" i="1" s="1"/>
  <c r="H91" i="1" s="1"/>
  <c r="F87" i="1"/>
  <c r="G87" i="1" s="1"/>
  <c r="H87" i="1" s="1"/>
  <c r="F83" i="1"/>
  <c r="G83" i="1" s="1"/>
  <c r="H83" i="1" s="1"/>
  <c r="F79" i="1"/>
  <c r="G79" i="1" s="1"/>
  <c r="H79" i="1" s="1"/>
  <c r="F75" i="1"/>
  <c r="G75" i="1" s="1"/>
  <c r="H75" i="1" s="1"/>
  <c r="F71" i="1"/>
  <c r="G71" i="1" s="1"/>
  <c r="H71" i="1" s="1"/>
  <c r="F67" i="1"/>
  <c r="G67" i="1" s="1"/>
  <c r="H67" i="1" s="1"/>
  <c r="F63" i="1"/>
  <c r="G63" i="1" s="1"/>
  <c r="H63" i="1" s="1"/>
  <c r="F59" i="1"/>
  <c r="G59" i="1" s="1"/>
  <c r="H59" i="1" s="1"/>
  <c r="F55" i="1"/>
  <c r="G55" i="1" s="1"/>
  <c r="H55" i="1" s="1"/>
  <c r="F51" i="1"/>
  <c r="G51" i="1" s="1"/>
  <c r="H51" i="1" s="1"/>
  <c r="F47" i="1"/>
  <c r="G47" i="1" s="1"/>
  <c r="H47" i="1" s="1"/>
  <c r="F43" i="1"/>
  <c r="G43" i="1" s="1"/>
  <c r="H43" i="1" s="1"/>
  <c r="F39" i="1"/>
  <c r="G39" i="1" s="1"/>
  <c r="H39" i="1" s="1"/>
  <c r="F35" i="1"/>
  <c r="G35" i="1" s="1"/>
  <c r="H35" i="1" s="1"/>
  <c r="F31" i="1"/>
  <c r="G31" i="1" s="1"/>
  <c r="H31" i="1" s="1"/>
  <c r="F27" i="1"/>
  <c r="G27" i="1" s="1"/>
  <c r="H27" i="1" s="1"/>
  <c r="F23" i="1"/>
  <c r="G23" i="1" s="1"/>
  <c r="H23" i="1" s="1"/>
  <c r="F19" i="1"/>
  <c r="G19" i="1" s="1"/>
  <c r="H19" i="1" s="1"/>
  <c r="F354" i="1"/>
  <c r="G354" i="1" s="1"/>
  <c r="H354" i="1" s="1"/>
  <c r="F350" i="1"/>
  <c r="G350" i="1" s="1"/>
  <c r="H350" i="1" s="1"/>
  <c r="F346" i="1"/>
  <c r="G346" i="1" s="1"/>
  <c r="H346" i="1" s="1"/>
  <c r="F342" i="1"/>
  <c r="G342" i="1" s="1"/>
  <c r="H342" i="1" s="1"/>
  <c r="F338" i="1"/>
  <c r="G338" i="1" s="1"/>
  <c r="H338" i="1" s="1"/>
  <c r="F334" i="1"/>
  <c r="G334" i="1" s="1"/>
  <c r="H334" i="1" s="1"/>
  <c r="F330" i="1"/>
  <c r="G330" i="1" s="1"/>
  <c r="H330" i="1" s="1"/>
  <c r="F326" i="1"/>
  <c r="G326" i="1" s="1"/>
  <c r="H326" i="1" s="1"/>
  <c r="F322" i="1"/>
  <c r="G322" i="1" s="1"/>
  <c r="H322" i="1" s="1"/>
  <c r="F318" i="1"/>
  <c r="G318" i="1" s="1"/>
  <c r="H318" i="1" s="1"/>
  <c r="F314" i="1"/>
  <c r="G314" i="1" s="1"/>
  <c r="H314" i="1" s="1"/>
  <c r="F310" i="1"/>
  <c r="G310" i="1" s="1"/>
  <c r="H310" i="1" s="1"/>
  <c r="F306" i="1"/>
  <c r="G306" i="1" s="1"/>
  <c r="H306" i="1" s="1"/>
  <c r="F302" i="1"/>
  <c r="G302" i="1" s="1"/>
  <c r="H302" i="1" s="1"/>
  <c r="F298" i="1"/>
  <c r="G298" i="1" s="1"/>
  <c r="H298" i="1" s="1"/>
  <c r="F294" i="1"/>
  <c r="G294" i="1" s="1"/>
  <c r="H294" i="1" s="1"/>
  <c r="F290" i="1"/>
  <c r="G290" i="1" s="1"/>
  <c r="H290" i="1" s="1"/>
  <c r="F286" i="1"/>
  <c r="G286" i="1" s="1"/>
  <c r="H286" i="1" s="1"/>
  <c r="F282" i="1"/>
  <c r="G282" i="1" s="1"/>
  <c r="H282" i="1" s="1"/>
  <c r="F278" i="1"/>
  <c r="G278" i="1" s="1"/>
  <c r="H278" i="1" s="1"/>
  <c r="F274" i="1"/>
  <c r="G274" i="1" s="1"/>
  <c r="H274" i="1" s="1"/>
  <c r="F270" i="1"/>
  <c r="G270" i="1" s="1"/>
  <c r="H270" i="1" s="1"/>
  <c r="F266" i="1"/>
  <c r="G266" i="1" s="1"/>
  <c r="H266" i="1" s="1"/>
  <c r="F262" i="1"/>
  <c r="G262" i="1" s="1"/>
  <c r="H262" i="1" s="1"/>
  <c r="F258" i="1"/>
  <c r="G258" i="1" s="1"/>
  <c r="H258" i="1" s="1"/>
  <c r="F254" i="1"/>
  <c r="G254" i="1" s="1"/>
  <c r="H254" i="1" s="1"/>
  <c r="F250" i="1"/>
  <c r="G250" i="1" s="1"/>
  <c r="H250" i="1" s="1"/>
  <c r="F246" i="1"/>
  <c r="G246" i="1" s="1"/>
  <c r="H246" i="1" s="1"/>
  <c r="F242" i="1"/>
  <c r="G242" i="1" s="1"/>
  <c r="H242" i="1" s="1"/>
  <c r="F238" i="1"/>
  <c r="G238" i="1" s="1"/>
  <c r="H238" i="1" s="1"/>
  <c r="F234" i="1"/>
  <c r="G234" i="1" s="1"/>
  <c r="H234" i="1" s="1"/>
  <c r="F230" i="1"/>
  <c r="G230" i="1" s="1"/>
  <c r="H230" i="1" s="1"/>
  <c r="F226" i="1"/>
  <c r="G226" i="1" s="1"/>
  <c r="H226" i="1" s="1"/>
  <c r="F222" i="1"/>
  <c r="G222" i="1" s="1"/>
  <c r="H222" i="1" s="1"/>
  <c r="F218" i="1"/>
  <c r="G218" i="1" s="1"/>
  <c r="H218" i="1" s="1"/>
  <c r="F214" i="1"/>
  <c r="G214" i="1" s="1"/>
  <c r="H214" i="1" s="1"/>
  <c r="F210" i="1"/>
  <c r="G210" i="1" s="1"/>
  <c r="H210" i="1" s="1"/>
  <c r="F206" i="1"/>
  <c r="G206" i="1" s="1"/>
  <c r="H206" i="1" s="1"/>
  <c r="F202" i="1"/>
  <c r="G202" i="1" s="1"/>
  <c r="H202" i="1" s="1"/>
  <c r="F198" i="1"/>
  <c r="G198" i="1" s="1"/>
  <c r="H198" i="1" s="1"/>
  <c r="F194" i="1"/>
  <c r="G194" i="1" s="1"/>
  <c r="H194" i="1" s="1"/>
  <c r="F190" i="1"/>
  <c r="G190" i="1" s="1"/>
  <c r="H190" i="1" s="1"/>
  <c r="F186" i="1"/>
  <c r="G186" i="1" s="1"/>
  <c r="H186" i="1" s="1"/>
  <c r="F182" i="1"/>
  <c r="G182" i="1" s="1"/>
  <c r="H182" i="1" s="1"/>
  <c r="F178" i="1"/>
  <c r="G178" i="1" s="1"/>
  <c r="H178" i="1" s="1"/>
  <c r="F174" i="1"/>
  <c r="G174" i="1" s="1"/>
  <c r="H174" i="1" s="1"/>
  <c r="F170" i="1"/>
  <c r="G170" i="1" s="1"/>
  <c r="H170" i="1" s="1"/>
  <c r="F166" i="1"/>
  <c r="G166" i="1" s="1"/>
  <c r="H166" i="1" s="1"/>
  <c r="F162" i="1"/>
  <c r="G162" i="1" s="1"/>
  <c r="H162" i="1" s="1"/>
  <c r="F158" i="1"/>
  <c r="G158" i="1" s="1"/>
  <c r="H158" i="1" s="1"/>
  <c r="F154" i="1"/>
  <c r="G154" i="1" s="1"/>
  <c r="H154" i="1" s="1"/>
  <c r="F150" i="1"/>
  <c r="G150" i="1" s="1"/>
  <c r="H150" i="1" s="1"/>
  <c r="F146" i="1"/>
  <c r="G146" i="1" s="1"/>
  <c r="H146" i="1" s="1"/>
  <c r="F142" i="1"/>
  <c r="G142" i="1" s="1"/>
  <c r="H142" i="1" s="1"/>
  <c r="F138" i="1"/>
  <c r="G138" i="1" s="1"/>
  <c r="H138" i="1" s="1"/>
  <c r="F134" i="1"/>
  <c r="G134" i="1" s="1"/>
  <c r="H134" i="1" s="1"/>
  <c r="F130" i="1"/>
  <c r="G130" i="1" s="1"/>
  <c r="H130" i="1" s="1"/>
  <c r="F126" i="1"/>
  <c r="G126" i="1" s="1"/>
  <c r="H126" i="1" s="1"/>
  <c r="F122" i="1"/>
  <c r="G122" i="1" s="1"/>
  <c r="H122" i="1" s="1"/>
  <c r="F118" i="1"/>
  <c r="G118" i="1" s="1"/>
  <c r="H118" i="1" s="1"/>
  <c r="F114" i="1"/>
  <c r="G114" i="1" s="1"/>
  <c r="H114" i="1" s="1"/>
  <c r="F110" i="1"/>
  <c r="G110" i="1" s="1"/>
  <c r="H110" i="1" s="1"/>
  <c r="F106" i="1"/>
  <c r="G106" i="1" s="1"/>
  <c r="H106" i="1" s="1"/>
  <c r="F102" i="1"/>
  <c r="G102" i="1" s="1"/>
  <c r="H102" i="1" s="1"/>
  <c r="F98" i="1"/>
  <c r="G98" i="1" s="1"/>
  <c r="H98" i="1" s="1"/>
  <c r="F94" i="1"/>
  <c r="G94" i="1" s="1"/>
  <c r="H94" i="1" s="1"/>
  <c r="F90" i="1"/>
  <c r="G90" i="1" s="1"/>
  <c r="H90" i="1" s="1"/>
  <c r="F86" i="1"/>
  <c r="G86" i="1" s="1"/>
  <c r="H86" i="1" s="1"/>
  <c r="F82" i="1"/>
  <c r="G82" i="1" s="1"/>
  <c r="H82" i="1" s="1"/>
  <c r="F78" i="1"/>
  <c r="G78" i="1" s="1"/>
  <c r="H78" i="1" s="1"/>
  <c r="F74" i="1"/>
  <c r="G74" i="1" s="1"/>
  <c r="H74" i="1" s="1"/>
  <c r="F70" i="1"/>
  <c r="G70" i="1" s="1"/>
  <c r="H70" i="1" s="1"/>
  <c r="F66" i="1"/>
  <c r="G66" i="1" s="1"/>
  <c r="H66" i="1" s="1"/>
  <c r="F62" i="1"/>
  <c r="G62" i="1" s="1"/>
  <c r="H62" i="1" s="1"/>
  <c r="F58" i="1"/>
  <c r="G58" i="1" s="1"/>
  <c r="H58" i="1" s="1"/>
  <c r="F54" i="1"/>
  <c r="G54" i="1" s="1"/>
  <c r="H54" i="1" s="1"/>
  <c r="F50" i="1"/>
  <c r="G50" i="1" s="1"/>
  <c r="H50" i="1" s="1"/>
  <c r="F46" i="1"/>
  <c r="G46" i="1" s="1"/>
  <c r="H46" i="1" s="1"/>
  <c r="F42" i="1"/>
  <c r="G42" i="1" s="1"/>
  <c r="H42" i="1" s="1"/>
  <c r="F38" i="1"/>
  <c r="G38" i="1" s="1"/>
  <c r="H38" i="1" s="1"/>
  <c r="F34" i="1"/>
  <c r="G34" i="1" s="1"/>
  <c r="H34" i="1" s="1"/>
  <c r="F30" i="1"/>
  <c r="G30" i="1" s="1"/>
  <c r="H30" i="1" s="1"/>
  <c r="F26" i="1"/>
  <c r="G26" i="1" s="1"/>
  <c r="H26" i="1" s="1"/>
  <c r="F22" i="1"/>
  <c r="G22" i="1" s="1"/>
  <c r="H22" i="1" s="1"/>
  <c r="I18" i="1" l="1"/>
  <c r="K18" i="1" s="1"/>
  <c r="H40" i="2"/>
  <c r="H51" i="2" s="1"/>
  <c r="H52" i="2" s="1"/>
  <c r="H56" i="2" s="1"/>
  <c r="J29" i="2"/>
  <c r="I32" i="2"/>
  <c r="I35" i="2" s="1"/>
  <c r="I37" i="2"/>
  <c r="I40" i="2" l="1"/>
  <c r="I51" i="2" s="1"/>
  <c r="I52" i="2" s="1"/>
  <c r="J32" i="2"/>
  <c r="K29" i="2"/>
  <c r="J35" i="2"/>
  <c r="J37" i="2"/>
  <c r="I56" i="2"/>
  <c r="J40" i="2" l="1"/>
  <c r="J51" i="2" s="1"/>
  <c r="J52" i="2" s="1"/>
  <c r="J56" i="2" s="1"/>
  <c r="K32" i="2"/>
  <c r="K35" i="2"/>
  <c r="K37" i="2"/>
  <c r="L29" i="2"/>
  <c r="K40" i="2" l="1"/>
  <c r="K51" i="2" s="1"/>
  <c r="K52" i="2" s="1"/>
  <c r="K56" i="2" s="1"/>
  <c r="L37" i="2"/>
  <c r="M29" i="2"/>
  <c r="L32" i="2"/>
  <c r="L35" i="2" s="1"/>
  <c r="L40" i="2" s="1"/>
  <c r="L51" i="2" s="1"/>
  <c r="L52" i="2" s="1"/>
  <c r="L56" i="2" l="1"/>
  <c r="M32" i="2"/>
  <c r="M37" i="2"/>
  <c r="N29" i="2"/>
  <c r="M35" i="2"/>
  <c r="M40" i="2" s="1"/>
  <c r="M51" i="2" s="1"/>
  <c r="M52" i="2" s="1"/>
  <c r="M56" i="2" l="1"/>
  <c r="N37" i="2"/>
  <c r="N32" i="2"/>
  <c r="N35" i="2" s="1"/>
  <c r="N40" i="2" s="1"/>
  <c r="N51" i="2" s="1"/>
  <c r="N52" i="2" s="1"/>
  <c r="N56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<sst xmlns="http://schemas.openxmlformats.org/spreadsheetml/2006/main" count="169" uniqueCount="137">
  <si>
    <t>Assignment 3</t>
  </si>
  <si>
    <t>Financial Risk Modeling</t>
  </si>
  <si>
    <t>1) Generate 1,000 random variables</t>
  </si>
  <si>
    <t>2) Convert them to standard normal variables using Norm.s.inv()</t>
  </si>
  <si>
    <t>(1)</t>
  </si>
  <si>
    <t>Model 1 Instructions</t>
  </si>
  <si>
    <t>(2)</t>
  </si>
  <si>
    <t>One year futures price</t>
  </si>
  <si>
    <t>Expected return (on futures price)</t>
  </si>
  <si>
    <t>(3)</t>
  </si>
  <si>
    <t xml:space="preserve">Standard deviation </t>
  </si>
  <si>
    <t>(4)</t>
  </si>
  <si>
    <t>(5)</t>
  </si>
  <si>
    <t>/1000 =</t>
  </si>
  <si>
    <t>Sales</t>
  </si>
  <si>
    <t>COGS</t>
  </si>
  <si>
    <t>Expected sales growth</t>
  </si>
  <si>
    <t>Standard deviation</t>
  </si>
  <si>
    <t>Current</t>
  </si>
  <si>
    <t xml:space="preserve">  % sales</t>
  </si>
  <si>
    <t>SG&amp;A</t>
  </si>
  <si>
    <t>EBITDA</t>
  </si>
  <si>
    <t>Gross Profit</t>
  </si>
  <si>
    <t xml:space="preserve">  % growth</t>
  </si>
  <si>
    <t>Random variable</t>
  </si>
  <si>
    <t>Standard normal variable</t>
  </si>
  <si>
    <t>Entry Multiple (xEBITDA)</t>
  </si>
  <si>
    <t>Exit Multiple (xEBITDA)</t>
  </si>
  <si>
    <t xml:space="preserve">  Expected EM</t>
  </si>
  <si>
    <t xml:space="preserve">  Std Dev EM</t>
  </si>
  <si>
    <t>Entry Value</t>
  </si>
  <si>
    <t>Growth rate (simulated)</t>
  </si>
  <si>
    <t>Exit Multiple (simulated)</t>
  </si>
  <si>
    <t>Model 2 Instructions</t>
  </si>
  <si>
    <t>Model 2 simulates the exit horizon for a private equity investment.  For simplicity, we ignore debt repayment and focus only on the return on exit value.</t>
  </si>
  <si>
    <t>1) Generate random variables to model sales growth</t>
  </si>
  <si>
    <t>2) Convert random variables to standard normal variables using Norm.s.inv()</t>
  </si>
  <si>
    <t>3) Convert step 2 output to growth estimates using an the specified growth rate and standard deviation</t>
  </si>
  <si>
    <t>"Build" your model by entering the appropriate functions or formulas in the shaded cells. (You might prefer to set your calculation mode to "Manual")</t>
  </si>
  <si>
    <t>4) Use the simulated growth rate to project sales from prior period sales (i.e., sequential series of sales over the 7 year model period)</t>
  </si>
  <si>
    <t>Exit Value (simulated)</t>
  </si>
  <si>
    <t>5) Generate random variables, standard normal variables, and simulated exit multiples over the 7 years based on the expected exit multiple and standard deviation.</t>
  </si>
  <si>
    <t>Annual return (based on exit vs entry)</t>
  </si>
  <si>
    <t xml:space="preserve">This model reflects path dependency as the investor will exit the investment in the first period when the return is above an annual threshold. </t>
  </si>
  <si>
    <t>Annual Exit Multiple &amp; EBITDA threshold</t>
  </si>
  <si>
    <t>Simulated exit horizon</t>
  </si>
  <si>
    <t>Output</t>
  </si>
  <si>
    <t>6) Click the "Run Simulations" button to generate 1000 simulations (will produce the "exit horizon" for each simulation)</t>
  </si>
  <si>
    <t>Assets</t>
  </si>
  <si>
    <t>Expected Return</t>
  </si>
  <si>
    <t>Std Deviation</t>
  </si>
  <si>
    <t>Correlation Matrix</t>
  </si>
  <si>
    <t>tbill</t>
  </si>
  <si>
    <t>10y</t>
  </si>
  <si>
    <t>30y</t>
  </si>
  <si>
    <t>mbs</t>
  </si>
  <si>
    <t>hy</t>
  </si>
  <si>
    <t>value</t>
  </si>
  <si>
    <t>growth</t>
  </si>
  <si>
    <t>income</t>
  </si>
  <si>
    <t>Portfolio</t>
  </si>
  <si>
    <t>Total</t>
  </si>
  <si>
    <t>$ million</t>
  </si>
  <si>
    <t>% of Portfolio</t>
  </si>
  <si>
    <t>Standard Deviation</t>
  </si>
  <si>
    <t>Covariance Matrix (3 matrices, elements will be in form of variance)</t>
  </si>
  <si>
    <t>Covariance Matrix Output</t>
  </si>
  <si>
    <t>Model 3 Instructions</t>
  </si>
  <si>
    <t>1) Find the portfolio's expected return using =sumproduct() and the asset weights and expected returns</t>
  </si>
  <si>
    <t>2) Construct the diagonal matrix from assets' standard deviations</t>
  </si>
  <si>
    <t>3) Multiply the standard deviation and correlation matrices in the manner discussed in class/slides to find the covariance matrix</t>
  </si>
  <si>
    <t>4) Multiply the portfolio asset allocation by the covariance matrix in the manner discussed in class/slides to find the portfolio variance. Note that standard deviation is the square root of variance.</t>
  </si>
  <si>
    <t>Asset</t>
  </si>
  <si>
    <t>Constraints</t>
  </si>
  <si>
    <t>Long Short Model</t>
  </si>
  <si>
    <t>Min Allocation</t>
  </si>
  <si>
    <t>Max Allocation</t>
  </si>
  <si>
    <t>1) Regenerate the portfolio expected return and standard deviation computations using $ weights in the table below</t>
  </si>
  <si>
    <t>Weight ($)</t>
  </si>
  <si>
    <t>2) Use solver</t>
  </si>
  <si>
    <t xml:space="preserve">&lt;====must equal====&gt; </t>
  </si>
  <si>
    <t>Return/Risk</t>
  </si>
  <si>
    <r>
      <t xml:space="preserve">5) Count the number of outcomes </t>
    </r>
    <r>
      <rPr>
        <sz val="11"/>
        <color rgb="FFC00000"/>
        <rFont val="Arial"/>
        <family val="2"/>
      </rPr>
      <t>above 4500</t>
    </r>
    <r>
      <rPr>
        <sz val="11"/>
        <color theme="1"/>
        <rFont val="Arial"/>
        <family val="2"/>
      </rPr>
      <t xml:space="preserve"> as a portion of 1,000 simulations (use "countif()")</t>
    </r>
  </si>
  <si>
    <t xml:space="preserve">  Note: Always use the "prior" year multiple as the expected outcome for the next year's multiple</t>
  </si>
  <si>
    <t>Weights</t>
  </si>
  <si>
    <t>5y</t>
  </si>
  <si>
    <t>small cap</t>
  </si>
  <si>
    <t>Diagonalize Standard Deviations</t>
  </si>
  <si>
    <t>3) Allocate $100 million to the 10 assets given the following constraints</t>
  </si>
  <si>
    <t xml:space="preserve">  a) The net long position must be $75 million for the entire portfolio</t>
  </si>
  <si>
    <t xml:space="preserve">  b) The long or short position in any given asset must be between the Min and Max amount as provided</t>
  </si>
  <si>
    <t xml:space="preserve">  c) The objective is to maximize the ratio of return versus risk in the portfolio (cell J88)</t>
  </si>
  <si>
    <t>Model 3B Instructions</t>
  </si>
  <si>
    <t>No exit</t>
  </si>
  <si>
    <t>Questions</t>
  </si>
  <si>
    <t>Score</t>
  </si>
  <si>
    <t>Max Points</t>
  </si>
  <si>
    <t>Feedback</t>
  </si>
  <si>
    <t>Data in cell(s): E18, in worksheet: Model1</t>
  </si>
  <si>
    <t>Data in cell(s): F18, in worksheet: Model1</t>
  </si>
  <si>
    <t>Data in cell(s): F400, in worksheet: Model1</t>
  </si>
  <si>
    <t>Data in cell(s): F956, in worksheet: Model1</t>
  </si>
  <si>
    <t>Data in cell(s): F1017, in worksheet: Model1</t>
  </si>
  <si>
    <t>Data in cell(s): G18:G1017, in worksheet: Model1</t>
  </si>
  <si>
    <t>Data in cell(s): I18, in worksheet: Model1</t>
  </si>
  <si>
    <t>Data in cell(s): H24, in worksheet: Model2</t>
  </si>
  <si>
    <t>Data in cell(s): H25, in worksheet: Model2</t>
  </si>
  <si>
    <t>Data in cell(s): I25, in worksheet: Model2</t>
  </si>
  <si>
    <t>Data in cell(s): J25, in worksheet: Model2</t>
  </si>
  <si>
    <t>Data in cell(s): K25, in worksheet: Model2</t>
  </si>
  <si>
    <t>Data in cell(s): L25, in worksheet: Model2</t>
  </si>
  <si>
    <t>Data in cell(s): M25, in worksheet: Model2</t>
  </si>
  <si>
    <t>Data in cell(s): N25, in worksheet: Model2</t>
  </si>
  <si>
    <t>Data in cell(s): H26:N26, in worksheet: Model2</t>
  </si>
  <si>
    <t>Data in cell(s): H29, in worksheet: Model2</t>
  </si>
  <si>
    <t>Data in cell(s): I29, in worksheet: Model2</t>
  </si>
  <si>
    <t>Data in cell(s): J29, in worksheet: Model2</t>
  </si>
  <si>
    <t>Data in cell(s): K29, in worksheet: Model2</t>
  </si>
  <si>
    <t>Data in cell(s): L29, in worksheet: Model2</t>
  </si>
  <si>
    <t>Data in cell(s): M29, in worksheet: Model2</t>
  </si>
  <si>
    <t>Data in cell(s): N29, in worksheet: Model2</t>
  </si>
  <si>
    <t>Data in cell(s): H47, in worksheet: Model2</t>
  </si>
  <si>
    <t>Data in cell(s): H48, in worksheet: Model2</t>
  </si>
  <si>
    <t>Data in cell(s): I48, in worksheet: Model2</t>
  </si>
  <si>
    <t>Data in cell(s): J48, in worksheet: Model2</t>
  </si>
  <si>
    <t>Data in cell(s): K48, in worksheet: Model2</t>
  </si>
  <si>
    <t>Data in cell(s): L48, in worksheet: Model2</t>
  </si>
  <si>
    <t>Data in cell(s): M48, in worksheet: Model2</t>
  </si>
  <si>
    <t>Data in cell(s): N48, in worksheet: Model2</t>
  </si>
  <si>
    <t>Data in cell(s): H49:N49, in worksheet: Model2</t>
  </si>
  <si>
    <t>Data in cell(s): Q23:Q1022, in worksheet: Model2</t>
  </si>
  <si>
    <t>Data in cell(s): J17, in worksheet: Model3</t>
  </si>
  <si>
    <t>Data in cell(s): J18, in worksheet: Model3</t>
  </si>
  <si>
    <t>Data in cell(s): J85, in worksheet: Model3</t>
  </si>
  <si>
    <t>Data in cell(s): J86, in worksheet: Model3</t>
  </si>
  <si>
    <t>Total Score</t>
  </si>
  <si>
    <t>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</si>
</sst>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64" formatCode="0.0%"/>
    <numFmt numFmtId="165" formatCode="_(* #,##0.0_);_(* \(#,##0.0\);_(* &quot;-&quot;??_);_(@_)"/>
    <numFmt numFmtId="166" formatCode="_(* #,##0.0_);_(* \(#,##0.0\);_(* &quot;-&quot;?_);_(@_)"/>
    <numFmt numFmtId="167" formatCode="0.000"/>
    <numFmt numFmtId="168" formatCode="0.0000"/>
    <numFmt numFmtId="169" formatCode="#,##0.0_);\(#,##0.0\)"/>
    <numFmt numFmtId="170" formatCode="0.0\x"/>
    <numFmt numFmtId="171" formatCode="#,##0.0"/>
    <numFmt numFmtId="172" formatCode="0.0"/>
    <numFmt numFmtId="173" formatCode="0.000000000000000%"/>
  </numFmts>
  <fonts count="9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rgb="FF000000"/>
      <name val="Arial"/>
      <family val="2"/>
    </font>
    <font>
      <sz val="11"/>
      <color rgb="FFC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4"/>
      <color rgb="FFFFFFFF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87CEFA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rgb="FF000000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0" xfId="0" quotePrefix="1"/>
    <xf numFmtId="164" fontId="0" fillId="0" borderId="0" xfId="2" applyNumberFormat="1" applyFont="1"/>
    <xf numFmtId="165" fontId="0" fillId="0" borderId="0" xfId="1" applyNumberFormat="1" applyFont="1"/>
    <xf numFmtId="43" fontId="0" fillId="0" borderId="0" xfId="0" applyNumberFormat="1"/>
    <xf numFmtId="164" fontId="0" fillId="0" borderId="0" xfId="0" applyNumberFormat="1"/>
    <xf numFmtId="0" fontId="0" fillId="0" borderId="1" xfId="0" applyBorder="1"/>
    <xf numFmtId="10" fontId="0" fillId="2" borderId="0" xfId="2" applyNumberFormat="1" applyFont="1" applyFill="1"/>
    <xf numFmtId="167" fontId="0" fillId="2" borderId="0" xfId="0" applyNumberFormat="1" applyFill="1"/>
    <xf numFmtId="168" fontId="0" fillId="2" borderId="0" xfId="0" applyNumberFormat="1" applyFill="1"/>
    <xf numFmtId="0" fontId="0" fillId="0" borderId="1" xfId="0" applyBorder="1" applyAlignment="1">
      <alignment horizontal="right"/>
    </xf>
    <xf numFmtId="169" fontId="0" fillId="2" borderId="0" xfId="0" applyNumberFormat="1" applyFill="1"/>
    <xf numFmtId="43" fontId="0" fillId="2" borderId="0" xfId="1" applyFont="1" applyFill="1"/>
    <xf numFmtId="170" fontId="0" fillId="3" borderId="0" xfId="0" applyNumberFormat="1" applyFill="1"/>
    <xf numFmtId="164" fontId="0" fillId="3" borderId="0" xfId="2" applyNumberFormat="1" applyFont="1" applyFill="1"/>
    <xf numFmtId="166" fontId="0" fillId="3" borderId="0" xfId="0" applyNumberFormat="1" applyFill="1"/>
    <xf numFmtId="171" fontId="0" fillId="0" borderId="0" xfId="0" applyNumberFormat="1"/>
    <xf numFmtId="164" fontId="0" fillId="3" borderId="0" xfId="0" applyNumberFormat="1" applyFill="1"/>
    <xf numFmtId="0" fontId="0" fillId="3" borderId="0" xfId="0" applyFill="1"/>
    <xf numFmtId="0" fontId="0" fillId="0" borderId="0" xfId="0" applyAlignment="1">
      <alignment horizontal="center"/>
    </xf>
    <xf numFmtId="10" fontId="0" fillId="0" borderId="0" xfId="0" applyNumberFormat="1"/>
    <xf numFmtId="0" fontId="0" fillId="4" borderId="2" xfId="0" applyFill="1" applyBorder="1"/>
    <xf numFmtId="0" fontId="0" fillId="4" borderId="4" xfId="0" applyFill="1" applyBorder="1"/>
    <xf numFmtId="0" fontId="0" fillId="4" borderId="1" xfId="0" applyFill="1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167" fontId="2" fillId="0" borderId="0" xfId="0" applyNumberFormat="1" applyFont="1"/>
    <xf numFmtId="0" fontId="5" fillId="0" borderId="0" xfId="0" quotePrefix="1" applyFont="1"/>
    <xf numFmtId="0" fontId="0" fillId="4" borderId="8" xfId="0" applyFill="1" applyBorder="1"/>
    <xf numFmtId="0" fontId="0" fillId="4" borderId="9" xfId="0" applyFill="1" applyBorder="1"/>
    <xf numFmtId="0" fontId="5" fillId="5" borderId="3" xfId="0" applyFont="1" applyFill="1" applyBorder="1"/>
    <xf numFmtId="0" fontId="5" fillId="5" borderId="4" xfId="0" applyFont="1" applyFill="1" applyBorder="1"/>
    <xf numFmtId="0" fontId="5" fillId="5" borderId="4" xfId="0" applyFont="1" applyFill="1" applyBorder="1" applyAlignment="1">
      <alignment horizontal="right"/>
    </xf>
    <xf numFmtId="164" fontId="1" fillId="6" borderId="4" xfId="2" applyNumberFormat="1" applyFont="1" applyFill="1" applyBorder="1"/>
    <xf numFmtId="164" fontId="1" fillId="6" borderId="5" xfId="2" applyNumberFormat="1" applyFont="1" applyFill="1" applyBorder="1"/>
    <xf numFmtId="0" fontId="5" fillId="5" borderId="6" xfId="0" applyFont="1" applyFill="1" applyBorder="1"/>
    <xf numFmtId="0" fontId="5" fillId="5" borderId="1" xfId="0" applyFont="1" applyFill="1" applyBorder="1"/>
    <xf numFmtId="0" fontId="5" fillId="5" borderId="1" xfId="0" applyFont="1" applyFill="1" applyBorder="1" applyAlignment="1">
      <alignment horizontal="right"/>
    </xf>
    <xf numFmtId="164" fontId="1" fillId="6" borderId="1" xfId="2" applyNumberFormat="1" applyFont="1" applyFill="1" applyBorder="1"/>
    <xf numFmtId="164" fontId="1" fillId="6" borderId="7" xfId="2" applyNumberFormat="1" applyFont="1" applyFill="1" applyBorder="1"/>
    <xf numFmtId="0" fontId="0" fillId="0" borderId="0" xfId="0" applyAlignment="1">
      <alignment horizontal="right"/>
    </xf>
    <xf numFmtId="0" fontId="0" fillId="4" borderId="4" xfId="0" applyFill="1" applyBorder="1" applyAlignment="1">
      <alignment horizontal="right"/>
    </xf>
    <xf numFmtId="172" fontId="0" fillId="4" borderId="4" xfId="0" applyNumberFormat="1" applyFill="1" applyBorder="1"/>
    <xf numFmtId="2" fontId="0" fillId="0" borderId="5" xfId="0" applyNumberFormat="1" applyBorder="1"/>
    <xf numFmtId="0" fontId="0" fillId="4" borderId="1" xfId="0" applyFill="1" applyBorder="1" applyAlignment="1">
      <alignment horizontal="right"/>
    </xf>
    <xf numFmtId="164" fontId="0" fillId="4" borderId="1" xfId="2" applyNumberFormat="1" applyFont="1" applyFill="1" applyBorder="1"/>
    <xf numFmtId="164" fontId="0" fillId="0" borderId="7" xfId="2" applyNumberFormat="1" applyFont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 wrapText="1"/>
    </xf>
    <xf numFmtId="10" fontId="0" fillId="2" borderId="0" xfId="2" applyNumberFormat="1" applyFont="1" applyFill="1" applyBorder="1"/>
    <xf numFmtId="0" fontId="0" fillId="6" borderId="0" xfId="0" applyFill="1"/>
    <xf numFmtId="172" fontId="0" fillId="7" borderId="0" xfId="0" applyNumberFormat="1" applyFill="1"/>
    <xf numFmtId="172" fontId="0" fillId="0" borderId="0" xfId="0" applyNumberFormat="1"/>
    <xf numFmtId="164" fontId="6" fillId="2" borderId="0" xfId="2" applyNumberFormat="1" applyFont="1" applyFill="1"/>
    <xf numFmtId="10" fontId="6" fillId="2" borderId="0" xfId="2" applyNumberFormat="1" applyFont="1" applyFill="1"/>
    <xf numFmtId="0" fontId="6" fillId="0" borderId="1" xfId="0" applyFont="1" applyBorder="1"/>
    <xf numFmtId="0" fontId="6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wrapText="1"/>
    </xf>
    <xf numFmtId="0" fontId="6" fillId="0" borderId="1" xfId="0" applyFont="1" applyBorder="1" applyAlignment="1">
      <alignment horizontal="right" wrapText="1"/>
    </xf>
    <xf numFmtId="0" fontId="0" fillId="0" borderId="0" xfId="0" applyAlignment="1">
      <alignment horizontal="right" wrapText="1"/>
    </xf>
    <xf numFmtId="2" fontId="6" fillId="2" borderId="0" xfId="0" applyNumberFormat="1" applyFont="1" applyFill="1"/>
    <xf numFmtId="10" fontId="6" fillId="3" borderId="0" xfId="0" applyNumberFormat="1" applyFont="1" applyFill="1"/>
    <xf numFmtId="0" fontId="6" fillId="3" borderId="0" xfId="0" applyFont="1" applyFill="1"/>
    <xf numFmtId="2" fontId="7" fillId="3" borderId="0" xfId="0" applyNumberFormat="1" applyFont="1" applyFill="1"/>
    <xf numFmtId="10" fontId="6" fillId="0" borderId="0" xfId="0" applyNumberFormat="1" applyFont="1"/>
    <xf numFmtId="6" fontId="7" fillId="0" borderId="0" xfId="0" applyNumberFormat="1" applyFont="1"/>
    <xf numFmtId="0" fontId="6" fillId="0" borderId="0" xfId="0" applyFont="1"/>
    <xf numFmtId="2" fontId="0" fillId="2" borderId="5" xfId="1" applyNumberFormat="1" applyFont="1" applyFill="1" applyBorder="1"/>
    <xf numFmtId="2" fontId="0" fillId="2" borderId="7" xfId="0" applyNumberFormat="1" applyFill="1" applyBorder="1"/>
    <xf numFmtId="173" fontId="0" fillId="2" borderId="0" xfId="0" applyNumberFormat="1" applyFill="1"/>
    <xf numFmtId="0" fontId="8" fillId="8" borderId="0" xfId="0" applyFont="1" applyFill="1" applyAlignment="1">
      <alignment wrapText="1"/>
    </xf>
    <xf numFmtId="0" fontId="0" fillId="0" borderId="10" xfId="0" applyBorder="1" applyAlignment="1">
      <alignment wrapText="1"/>
    </xf>
    <xf numFmtId="0" fontId="0" fillId="4" borderId="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15</xdr:row>
          <xdr:rowOff>104775</xdr:rowOff>
        </xdr:from>
        <xdr:to>
          <xdr:col>12</xdr:col>
          <xdr:colOff>771525</xdr:colOff>
          <xdr:row>18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Simulations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C883-5134-4B86-9833-5062817293C3}">
  <sheetPr codeName="Sheet1"/>
  <dimension ref="A1:L1017"/>
  <sheetViews>
    <sheetView showGridLines="0" tabSelected="1" zoomScale="170" workbookViewId="0">
      <selection activeCell="E19" sqref="E19"/>
    </sheetView>
  </sheetViews>
  <sheetFormatPr defaultRowHeight="14.25" x14ac:dyDescent="0.2"/>
  <cols>
    <col min="1" max="1" width="2.625" customWidth="1"/>
    <col min="4" max="4" width="10.875" customWidth="1"/>
    <col min="7" max="7" width="21.25" bestFit="1" customWidth="1"/>
  </cols>
  <sheetData>
    <row r="1" spans="1:7" ht="15" x14ac:dyDescent="0.25">
      <c r="A1" s="1" t="s">
        <v>0</v>
      </c>
    </row>
    <row r="2" spans="1:7" ht="15" x14ac:dyDescent="0.25">
      <c r="A2" s="1" t="s">
        <v>1</v>
      </c>
    </row>
    <row r="4" spans="1:7" ht="15" x14ac:dyDescent="0.25">
      <c r="D4" s="1" t="s">
        <v>5</v>
      </c>
    </row>
    <row r="5" spans="1:7" x14ac:dyDescent="0.2">
      <c r="D5" t="s">
        <v>2</v>
      </c>
    </row>
    <row r="6" spans="1:7" x14ac:dyDescent="0.2">
      <c r="D6" t="s">
        <v>3</v>
      </c>
    </row>
    <row r="7" spans="1:7" x14ac:dyDescent="0.2">
      <c r="D7" t="str">
        <f>"3) Convert step 2 output to return estimates using an expected return of "&amp;TEXT(G12,"0%")&amp;" and a standard deviation of "&amp;TEXT(G13,"00%")</f>
        <v>3) Convert step 2 output to return estimates using an expected return of 0% and a standard deviation of 25%</v>
      </c>
    </row>
    <row r="8" spans="1:7" x14ac:dyDescent="0.2">
      <c r="D8" t="str">
        <f>"4) Assume the one year S&amp;P 500 futures price is "&amp;G11&amp;". Find 1,000 simulated outcomes using output from step 3"</f>
        <v>4) Assume the one year S&amp;P 500 futures price is 3860. Find 1,000 simulated outcomes using output from step 3</v>
      </c>
    </row>
    <row r="9" spans="1:7" x14ac:dyDescent="0.2">
      <c r="D9" t="s">
        <v>82</v>
      </c>
    </row>
    <row r="11" spans="1:7" x14ac:dyDescent="0.2">
      <c r="D11" t="s">
        <v>7</v>
      </c>
      <c r="G11">
        <v>3860</v>
      </c>
    </row>
    <row r="12" spans="1:7" x14ac:dyDescent="0.2">
      <c r="D12" t="s">
        <v>8</v>
      </c>
      <c r="G12" s="4">
        <v>0</v>
      </c>
    </row>
    <row r="13" spans="1:7" x14ac:dyDescent="0.2">
      <c r="D13" t="s">
        <v>10</v>
      </c>
      <c r="G13" s="4">
        <v>0.25</v>
      </c>
    </row>
    <row r="17" spans="5:12" x14ac:dyDescent="0.2">
      <c r="E17" s="3" t="s">
        <v>4</v>
      </c>
      <c r="F17" s="3" t="s">
        <v>6</v>
      </c>
      <c r="G17" s="3" t="s">
        <v>9</v>
      </c>
      <c r="H17" s="3" t="s">
        <v>11</v>
      </c>
      <c r="I17" s="3" t="s">
        <v>12</v>
      </c>
    </row>
    <row r="18" spans="5:12" x14ac:dyDescent="0.2">
      <c r="E18" s="2" cm="1">
        <f t="array" aca="1" ref="E18:E1017" ca="1">_xlfn.RANDARRAY(1000)</f>
        <v>0.41856992446990748</v>
      </c>
      <c r="F18" s="2">
        <f ca="1">_xlfn.NORM.S.INV(E18)</f>
        <v>-0.20555331368787849</v>
      </c>
      <c r="G18" s="72">
        <f ca="1">$G$12+$G$13*F18</f>
        <v>-5.1388328421969623E-2</v>
      </c>
      <c r="H18">
        <f ca="1">$G$11*EXP(G18)</f>
        <v>3666.6515267544564</v>
      </c>
      <c r="I18" s="2">
        <f ca="1">COUNTIF(H18:H1017,"&gt;" &amp; 4500)</f>
        <v>259</v>
      </c>
      <c r="J18" s="3" t="s">
        <v>13</v>
      </c>
      <c r="K18" s="4">
        <f ca="1">I18/1000</f>
        <v>0.25900000000000001</v>
      </c>
      <c r="L18" s="3" t="str">
        <f>"probability Futures &gt; "&amp;RIGHT(LEFT(D9,42),4)</f>
        <v>probability Futures &gt; 4500</v>
      </c>
    </row>
    <row r="19" spans="5:12" x14ac:dyDescent="0.2">
      <c r="E19" s="2">
        <f ca="1"/>
        <v>0.57204762647863605</v>
      </c>
      <c r="F19" s="2">
        <f t="shared" ref="F19:F82" ca="1" si="0">_xlfn.NORM.S.INV(E19)</f>
        <v>0.18158968168249762</v>
      </c>
      <c r="G19" s="72">
        <f t="shared" ref="G19:G82" ca="1" si="1">$G$12+$G$13*F19</f>
        <v>4.5397420420624404E-2</v>
      </c>
      <c r="H19">
        <f t="shared" ref="H19:H82" ca="1" si="2">$G$11*EXP(G19)</f>
        <v>4039.2725096823251</v>
      </c>
    </row>
    <row r="20" spans="5:12" x14ac:dyDescent="0.2">
      <c r="E20" s="2">
        <f ca="1"/>
        <v>0.49544821324111843</v>
      </c>
      <c r="F20" s="2">
        <f t="shared" ca="1" si="0"/>
        <v>-1.1409884951950481E-2</v>
      </c>
      <c r="G20" s="72">
        <f t="shared" ca="1" si="1"/>
        <v>-2.8524712379876201E-3</v>
      </c>
      <c r="H20">
        <f t="shared" ca="1" si="2"/>
        <v>3849.0051497235077</v>
      </c>
    </row>
    <row r="21" spans="5:12" x14ac:dyDescent="0.2">
      <c r="E21" s="2">
        <f ca="1"/>
        <v>0.12300887530740012</v>
      </c>
      <c r="F21" s="2">
        <f t="shared" ca="1" si="0"/>
        <v>-1.1600762800267939</v>
      </c>
      <c r="G21" s="72">
        <f t="shared" ca="1" si="1"/>
        <v>-0.29001907000669847</v>
      </c>
      <c r="H21">
        <f t="shared" ca="1" si="2"/>
        <v>2888.2422915282355</v>
      </c>
    </row>
    <row r="22" spans="5:12" x14ac:dyDescent="0.2">
      <c r="E22" s="2">
        <f ca="1"/>
        <v>0.58929004235285909</v>
      </c>
      <c r="F22" s="2">
        <f t="shared" ca="1" si="0"/>
        <v>0.22571908262167692</v>
      </c>
      <c r="G22" s="72">
        <f t="shared" ca="1" si="1"/>
        <v>5.642977065541923E-2</v>
      </c>
      <c r="H22">
        <f t="shared" ca="1" si="2"/>
        <v>4084.0819006618649</v>
      </c>
    </row>
    <row r="23" spans="5:12" x14ac:dyDescent="0.2">
      <c r="E23" s="2">
        <f ca="1"/>
        <v>0.83394957331347319</v>
      </c>
      <c r="F23" s="2">
        <f t="shared" ca="1" si="0"/>
        <v>0.96989094634886885</v>
      </c>
      <c r="G23" s="72">
        <f t="shared" ca="1" si="1"/>
        <v>0.24247273658721721</v>
      </c>
      <c r="H23">
        <f t="shared" ca="1" si="2"/>
        <v>4919.1705065665128</v>
      </c>
    </row>
    <row r="24" spans="5:12" x14ac:dyDescent="0.2">
      <c r="E24" s="2">
        <f ca="1"/>
        <v>7.3597154612530469E-2</v>
      </c>
      <c r="F24" s="2">
        <f t="shared" ca="1" si="0"/>
        <v>-1.4495132269110484</v>
      </c>
      <c r="G24" s="72">
        <f t="shared" ca="1" si="1"/>
        <v>-0.36237830672776211</v>
      </c>
      <c r="H24">
        <f t="shared" ca="1" si="2"/>
        <v>2686.6333761136916</v>
      </c>
    </row>
    <row r="25" spans="5:12" x14ac:dyDescent="0.2">
      <c r="E25" s="2">
        <f ca="1"/>
        <v>0.99598135718720782</v>
      </c>
      <c r="F25" s="2">
        <f t="shared" ca="1" si="0"/>
        <v>2.6504994580411445</v>
      </c>
      <c r="G25" s="72">
        <f t="shared" ca="1" si="1"/>
        <v>0.66262486451028613</v>
      </c>
      <c r="H25">
        <f t="shared" ca="1" si="2"/>
        <v>7487.9274327339017</v>
      </c>
    </row>
    <row r="26" spans="5:12" x14ac:dyDescent="0.2">
      <c r="E26" s="2">
        <f ca="1"/>
        <v>0.67863260396789404</v>
      </c>
      <c r="F26" s="2">
        <f t="shared" ca="1" si="0"/>
        <v>0.46387850746073905</v>
      </c>
      <c r="G26" s="72">
        <f t="shared" ca="1" si="1"/>
        <v>0.11596962686518476</v>
      </c>
      <c r="H26">
        <f t="shared" ca="1" si="2"/>
        <v>4334.63240806043</v>
      </c>
    </row>
    <row r="27" spans="5:12" x14ac:dyDescent="0.2">
      <c r="E27" s="2">
        <f ca="1"/>
        <v>0.66466957553311912</v>
      </c>
      <c r="F27" s="2">
        <f t="shared" ca="1" si="0"/>
        <v>0.42524120540843269</v>
      </c>
      <c r="G27" s="72">
        <f t="shared" ca="1" si="1"/>
        <v>0.10631030135210817</v>
      </c>
      <c r="H27">
        <f t="shared" ca="1" si="2"/>
        <v>4292.9643493005478</v>
      </c>
    </row>
    <row r="28" spans="5:12" x14ac:dyDescent="0.2">
      <c r="E28" s="2">
        <f ca="1"/>
        <v>0.52433703290320177</v>
      </c>
      <c r="F28" s="2">
        <f t="shared" ca="1" si="0"/>
        <v>6.1041781572404336E-2</v>
      </c>
      <c r="G28" s="72">
        <f t="shared" ca="1" si="1"/>
        <v>1.5260445393101084E-2</v>
      </c>
      <c r="H28">
        <f t="shared" ca="1" si="2"/>
        <v>3919.3570749937871</v>
      </c>
    </row>
    <row r="29" spans="5:12" x14ac:dyDescent="0.2">
      <c r="E29" s="2">
        <f ca="1"/>
        <v>0.11925022882370651</v>
      </c>
      <c r="F29" s="2">
        <f t="shared" ca="1" si="0"/>
        <v>-1.1787431756609452</v>
      </c>
      <c r="G29" s="72">
        <f t="shared" ca="1" si="1"/>
        <v>-0.2946857939152363</v>
      </c>
      <c r="H29">
        <f t="shared" ca="1" si="2"/>
        <v>2874.7950638270368</v>
      </c>
    </row>
    <row r="30" spans="5:12" x14ac:dyDescent="0.2">
      <c r="E30" s="2">
        <f ca="1"/>
        <v>0.38361602537646933</v>
      </c>
      <c r="F30" s="2">
        <f t="shared" ca="1" si="0"/>
        <v>-0.29599742124704037</v>
      </c>
      <c r="G30" s="72">
        <f t="shared" ca="1" si="1"/>
        <v>-7.3999355311760093E-2</v>
      </c>
      <c r="H30">
        <f t="shared" ca="1" si="2"/>
        <v>3584.6750492244714</v>
      </c>
    </row>
    <row r="31" spans="5:12" x14ac:dyDescent="0.2">
      <c r="E31" s="2">
        <f ca="1"/>
        <v>0.2848454085640606</v>
      </c>
      <c r="F31" s="2">
        <f t="shared" ca="1" si="0"/>
        <v>-0.56850690687833438</v>
      </c>
      <c r="G31" s="72">
        <f t="shared" ca="1" si="1"/>
        <v>-0.1421267267195836</v>
      </c>
      <c r="H31">
        <f t="shared" ca="1" si="2"/>
        <v>3348.5936668552331</v>
      </c>
    </row>
    <row r="32" spans="5:12" x14ac:dyDescent="0.2">
      <c r="E32" s="2">
        <f ca="1"/>
        <v>0.47036490903273265</v>
      </c>
      <c r="F32" s="2">
        <f t="shared" ca="1" si="0"/>
        <v>-7.4352607548067981E-2</v>
      </c>
      <c r="G32" s="72">
        <f t="shared" ca="1" si="1"/>
        <v>-1.8588151887016995E-2</v>
      </c>
      <c r="H32">
        <f t="shared" ca="1" si="2"/>
        <v>3788.9124734182528</v>
      </c>
    </row>
    <row r="33" spans="5:8" x14ac:dyDescent="0.2">
      <c r="E33" s="2">
        <f ca="1"/>
        <v>0.83217704036946238</v>
      </c>
      <c r="F33" s="2">
        <f t="shared" ca="1" si="0"/>
        <v>0.96280394768495814</v>
      </c>
      <c r="G33" s="72">
        <f t="shared" ca="1" si="1"/>
        <v>0.24070098692123953</v>
      </c>
      <c r="H33">
        <f t="shared" ca="1" si="2"/>
        <v>4910.4626841832069</v>
      </c>
    </row>
    <row r="34" spans="5:8" x14ac:dyDescent="0.2">
      <c r="E34" s="2">
        <f ca="1"/>
        <v>0.26202111922394811</v>
      </c>
      <c r="F34" s="2">
        <f t="shared" ca="1" si="0"/>
        <v>-0.63712682247529984</v>
      </c>
      <c r="G34" s="72">
        <f t="shared" ca="1" si="1"/>
        <v>-0.15928170561882496</v>
      </c>
      <c r="H34">
        <f t="shared" ca="1" si="2"/>
        <v>3291.6385419271633</v>
      </c>
    </row>
    <row r="35" spans="5:8" x14ac:dyDescent="0.2">
      <c r="E35" s="2">
        <f ca="1"/>
        <v>0.84484690100957294</v>
      </c>
      <c r="F35" s="2">
        <f t="shared" ca="1" si="0"/>
        <v>1.0145797462781501</v>
      </c>
      <c r="G35" s="72">
        <f t="shared" ca="1" si="1"/>
        <v>0.25364493656953752</v>
      </c>
      <c r="H35">
        <f t="shared" ca="1" si="2"/>
        <v>4974.4366103454122</v>
      </c>
    </row>
    <row r="36" spans="5:8" x14ac:dyDescent="0.2">
      <c r="E36" s="2">
        <f ca="1"/>
        <v>2.9598333970155766E-2</v>
      </c>
      <c r="F36" s="2">
        <f t="shared" ca="1" si="0"/>
        <v>-1.8867298700711237</v>
      </c>
      <c r="G36" s="72">
        <f t="shared" ca="1" si="1"/>
        <v>-0.47168246751778092</v>
      </c>
      <c r="H36">
        <f t="shared" ca="1" si="2"/>
        <v>2408.4532005800547</v>
      </c>
    </row>
    <row r="37" spans="5:8" x14ac:dyDescent="0.2">
      <c r="E37" s="2">
        <f ca="1"/>
        <v>0.55900503228350007</v>
      </c>
      <c r="F37" s="2">
        <f t="shared" ca="1" si="0"/>
        <v>0.14844709486019614</v>
      </c>
      <c r="G37" s="72">
        <f t="shared" ca="1" si="1"/>
        <v>3.7111773715049035E-2</v>
      </c>
      <c r="H37">
        <f t="shared" ca="1" si="2"/>
        <v>4005.9427945207867</v>
      </c>
    </row>
    <row r="38" spans="5:8" x14ac:dyDescent="0.2">
      <c r="E38" s="2">
        <f ca="1"/>
        <v>0.18393941794628788</v>
      </c>
      <c r="F38" s="2">
        <f t="shared" ca="1" si="0"/>
        <v>-0.90045373447959409</v>
      </c>
      <c r="G38" s="72">
        <f t="shared" ca="1" si="1"/>
        <v>-0.22511343361989852</v>
      </c>
      <c r="H38">
        <f t="shared" ca="1" si="2"/>
        <v>3081.9229909015012</v>
      </c>
    </row>
    <row r="39" spans="5:8" x14ac:dyDescent="0.2">
      <c r="E39" s="2">
        <f ca="1"/>
        <v>0.40123492319370424</v>
      </c>
      <c r="F39" s="2">
        <f t="shared" ca="1" si="0"/>
        <v>-0.25015194487706277</v>
      </c>
      <c r="G39" s="72">
        <f t="shared" ca="1" si="1"/>
        <v>-6.2537986219265693E-2</v>
      </c>
      <c r="H39">
        <f t="shared" ca="1" si="2"/>
        <v>3625.9966819388956</v>
      </c>
    </row>
    <row r="40" spans="5:8" x14ac:dyDescent="0.2">
      <c r="E40" s="2">
        <f ca="1"/>
        <v>9.7202162420853222E-2</v>
      </c>
      <c r="F40" s="2">
        <f t="shared" ca="1" si="0"/>
        <v>-1.2976596209622564</v>
      </c>
      <c r="G40" s="72">
        <f t="shared" ca="1" si="1"/>
        <v>-0.3244149052405641</v>
      </c>
      <c r="H40">
        <f t="shared" ca="1" si="2"/>
        <v>2790.5878658284123</v>
      </c>
    </row>
    <row r="41" spans="5:8" x14ac:dyDescent="0.2">
      <c r="E41" s="2">
        <f ca="1"/>
        <v>0.62637065106625456</v>
      </c>
      <c r="F41" s="2">
        <f t="shared" ca="1" si="0"/>
        <v>0.32225608654895604</v>
      </c>
      <c r="G41" s="72">
        <f t="shared" ca="1" si="1"/>
        <v>8.0564021637239011E-2</v>
      </c>
      <c r="H41">
        <f t="shared" ca="1" si="2"/>
        <v>4183.8471962124167</v>
      </c>
    </row>
    <row r="42" spans="5:8" x14ac:dyDescent="0.2">
      <c r="E42" s="2">
        <f ca="1"/>
        <v>0.24877404039159701</v>
      </c>
      <c r="F42" s="2">
        <f t="shared" ca="1" si="0"/>
        <v>-0.67835271744075032</v>
      </c>
      <c r="G42" s="72">
        <f t="shared" ca="1" si="1"/>
        <v>-0.16958817936018758</v>
      </c>
      <c r="H42">
        <f t="shared" ca="1" si="2"/>
        <v>3257.8875811853404</v>
      </c>
    </row>
    <row r="43" spans="5:8" x14ac:dyDescent="0.2">
      <c r="E43" s="2">
        <f ca="1"/>
        <v>0.57414787324515903</v>
      </c>
      <c r="F43" s="2">
        <f t="shared" ca="1" si="0"/>
        <v>0.18694436573150161</v>
      </c>
      <c r="G43" s="72">
        <f t="shared" ca="1" si="1"/>
        <v>4.6736091432875403E-2</v>
      </c>
      <c r="H43">
        <f t="shared" ca="1" si="2"/>
        <v>4044.6833875862767</v>
      </c>
    </row>
    <row r="44" spans="5:8" x14ac:dyDescent="0.2">
      <c r="E44" s="2">
        <f ca="1"/>
        <v>0.16758223811539663</v>
      </c>
      <c r="F44" s="2">
        <f t="shared" ca="1" si="0"/>
        <v>-0.96376356738601443</v>
      </c>
      <c r="G44" s="72">
        <f t="shared" ca="1" si="1"/>
        <v>-0.24094089184650361</v>
      </c>
      <c r="H44">
        <f t="shared" ca="1" si="2"/>
        <v>3033.5279787972941</v>
      </c>
    </row>
    <row r="45" spans="5:8" x14ac:dyDescent="0.2">
      <c r="E45" s="2">
        <f ca="1"/>
        <v>0.96570377555138842</v>
      </c>
      <c r="F45" s="2">
        <f t="shared" ca="1" si="0"/>
        <v>1.8210947914896063</v>
      </c>
      <c r="G45" s="72">
        <f t="shared" ca="1" si="1"/>
        <v>0.45527369787240157</v>
      </c>
      <c r="H45">
        <f t="shared" ca="1" si="2"/>
        <v>6085.6946722745943</v>
      </c>
    </row>
    <row r="46" spans="5:8" x14ac:dyDescent="0.2">
      <c r="E46" s="2">
        <f ca="1"/>
        <v>0.41970212718645228</v>
      </c>
      <c r="F46" s="2">
        <f t="shared" ca="1" si="0"/>
        <v>-0.20265556760555001</v>
      </c>
      <c r="G46" s="72">
        <f t="shared" ca="1" si="1"/>
        <v>-5.0663891901387502E-2</v>
      </c>
      <c r="H46">
        <f t="shared" ca="1" si="2"/>
        <v>3669.3087454055922</v>
      </c>
    </row>
    <row r="47" spans="5:8" x14ac:dyDescent="0.2">
      <c r="E47" s="2">
        <f ca="1"/>
        <v>0.24709571363581384</v>
      </c>
      <c r="F47" s="2">
        <f t="shared" ca="1" si="0"/>
        <v>-0.68365756205151373</v>
      </c>
      <c r="G47" s="72">
        <f t="shared" ca="1" si="1"/>
        <v>-0.17091439051287843</v>
      </c>
      <c r="H47">
        <f t="shared" ca="1" si="2"/>
        <v>3253.5697981198437</v>
      </c>
    </row>
    <row r="48" spans="5:8" x14ac:dyDescent="0.2">
      <c r="E48" s="2">
        <f ca="1"/>
        <v>0.18704892725892353</v>
      </c>
      <c r="F48" s="2">
        <f t="shared" ca="1" si="0"/>
        <v>-0.88882366667130586</v>
      </c>
      <c r="G48" s="72">
        <f t="shared" ca="1" si="1"/>
        <v>-0.22220591666782646</v>
      </c>
      <c r="H48">
        <f t="shared" ca="1" si="2"/>
        <v>3090.8967736334653</v>
      </c>
    </row>
    <row r="49" spans="5:8" x14ac:dyDescent="0.2">
      <c r="E49" s="2">
        <f ca="1"/>
        <v>0.17305530031455052</v>
      </c>
      <c r="F49" s="2">
        <f t="shared" ca="1" si="0"/>
        <v>-0.94216025190912589</v>
      </c>
      <c r="G49" s="72">
        <f t="shared" ca="1" si="1"/>
        <v>-0.23554006297728147</v>
      </c>
      <c r="H49">
        <f t="shared" ca="1" si="2"/>
        <v>3049.9558664537299</v>
      </c>
    </row>
    <row r="50" spans="5:8" x14ac:dyDescent="0.2">
      <c r="E50" s="2">
        <f ca="1"/>
        <v>6.1666508890733551E-2</v>
      </c>
      <c r="F50" s="2">
        <f t="shared" ca="1" si="0"/>
        <v>-1.5409333101666691</v>
      </c>
      <c r="G50" s="72">
        <f t="shared" ca="1" si="1"/>
        <v>-0.38523332754166728</v>
      </c>
      <c r="H50">
        <f t="shared" ca="1" si="2"/>
        <v>2625.9266832465373</v>
      </c>
    </row>
    <row r="51" spans="5:8" x14ac:dyDescent="0.2">
      <c r="E51" s="2">
        <f ca="1"/>
        <v>0.88717184786541226</v>
      </c>
      <c r="F51" s="2">
        <f t="shared" ca="1" si="0"/>
        <v>1.211624101778751</v>
      </c>
      <c r="G51" s="72">
        <f t="shared" ca="1" si="1"/>
        <v>0.30290602544468775</v>
      </c>
      <c r="H51">
        <f t="shared" ca="1" si="2"/>
        <v>5225.6187344754198</v>
      </c>
    </row>
    <row r="52" spans="5:8" x14ac:dyDescent="0.2">
      <c r="E52" s="2">
        <f ca="1"/>
        <v>0.17700722284356663</v>
      </c>
      <c r="F52" s="2">
        <f t="shared" ca="1" si="0"/>
        <v>-0.92683069413670116</v>
      </c>
      <c r="G52" s="72">
        <f t="shared" ca="1" si="1"/>
        <v>-0.23170767353417529</v>
      </c>
      <c r="H52">
        <f t="shared" ca="1" si="2"/>
        <v>3061.6669114272854</v>
      </c>
    </row>
    <row r="53" spans="5:8" x14ac:dyDescent="0.2">
      <c r="E53" s="2">
        <f ca="1"/>
        <v>5.8477520758157375E-2</v>
      </c>
      <c r="F53" s="2">
        <f t="shared" ca="1" si="0"/>
        <v>-1.5676833832633101</v>
      </c>
      <c r="G53" s="72">
        <f t="shared" ca="1" si="1"/>
        <v>-0.39192084581582753</v>
      </c>
      <c r="H53">
        <f t="shared" ca="1" si="2"/>
        <v>2608.4243394174032</v>
      </c>
    </row>
    <row r="54" spans="5:8" x14ac:dyDescent="0.2">
      <c r="E54" s="2">
        <f ca="1"/>
        <v>0.30089790502420133</v>
      </c>
      <c r="F54" s="2">
        <f t="shared" ca="1" si="0"/>
        <v>-0.52181978899181058</v>
      </c>
      <c r="G54" s="72">
        <f t="shared" ca="1" si="1"/>
        <v>-0.13045494724795265</v>
      </c>
      <c r="H54">
        <f t="shared" ca="1" si="2"/>
        <v>3387.9066938641181</v>
      </c>
    </row>
    <row r="55" spans="5:8" x14ac:dyDescent="0.2">
      <c r="E55" s="2">
        <f ca="1"/>
        <v>0.77115982905121938</v>
      </c>
      <c r="F55" s="2">
        <f t="shared" ca="1" si="0"/>
        <v>0.74267190730226262</v>
      </c>
      <c r="G55" s="72">
        <f t="shared" ca="1" si="1"/>
        <v>0.18566797682556566</v>
      </c>
      <c r="H55">
        <f t="shared" ca="1" si="2"/>
        <v>4647.5265823299196</v>
      </c>
    </row>
    <row r="56" spans="5:8" x14ac:dyDescent="0.2">
      <c r="E56" s="2">
        <f ca="1"/>
        <v>0.41229005278908692</v>
      </c>
      <c r="F56" s="2">
        <f t="shared" ca="1" si="0"/>
        <v>-0.22165802867539511</v>
      </c>
      <c r="G56" s="72">
        <f t="shared" ca="1" si="1"/>
        <v>-5.5414507168848777E-2</v>
      </c>
      <c r="H56">
        <f t="shared" ca="1" si="2"/>
        <v>3651.9186108834556</v>
      </c>
    </row>
    <row r="57" spans="5:8" x14ac:dyDescent="0.2">
      <c r="E57" s="2">
        <f ca="1"/>
        <v>0.35622146108963282</v>
      </c>
      <c r="F57" s="2">
        <f t="shared" ca="1" si="0"/>
        <v>-0.36857716036411919</v>
      </c>
      <c r="G57" s="72">
        <f t="shared" ca="1" si="1"/>
        <v>-9.2144290091029799E-2</v>
      </c>
      <c r="H57">
        <f t="shared" ca="1" si="2"/>
        <v>3520.2179080350734</v>
      </c>
    </row>
    <row r="58" spans="5:8" x14ac:dyDescent="0.2">
      <c r="E58" s="2">
        <f ca="1"/>
        <v>0.61961728704198293</v>
      </c>
      <c r="F58" s="2">
        <f t="shared" ca="1" si="0"/>
        <v>0.30447580128257956</v>
      </c>
      <c r="G58" s="72">
        <f t="shared" ca="1" si="1"/>
        <v>7.611895032064489E-2</v>
      </c>
      <c r="H58">
        <f t="shared" ca="1" si="2"/>
        <v>4165.2909694769596</v>
      </c>
    </row>
    <row r="59" spans="5:8" x14ac:dyDescent="0.2">
      <c r="E59" s="2">
        <f ca="1"/>
        <v>0.5003270454780353</v>
      </c>
      <c r="F59" s="2">
        <f t="shared" ca="1" si="0"/>
        <v>8.1978153415473325E-4</v>
      </c>
      <c r="G59" s="72">
        <f t="shared" ca="1" si="1"/>
        <v>2.0494538353868331E-4</v>
      </c>
      <c r="H59">
        <f t="shared" ca="1" si="2"/>
        <v>3860.7911702510355</v>
      </c>
    </row>
    <row r="60" spans="5:8" x14ac:dyDescent="0.2">
      <c r="E60" s="2">
        <f ca="1"/>
        <v>0.27995740729645879</v>
      </c>
      <c r="F60" s="2">
        <f t="shared" ca="1" si="0"/>
        <v>-0.58296804119972845</v>
      </c>
      <c r="G60" s="72">
        <f t="shared" ca="1" si="1"/>
        <v>-0.14574201029993211</v>
      </c>
      <c r="H60">
        <f t="shared" ca="1" si="2"/>
        <v>3336.5094083269573</v>
      </c>
    </row>
    <row r="61" spans="5:8" x14ac:dyDescent="0.2">
      <c r="E61" s="2">
        <f ca="1"/>
        <v>0.59473297116444668</v>
      </c>
      <c r="F61" s="2">
        <f t="shared" ca="1" si="0"/>
        <v>0.2397371182863528</v>
      </c>
      <c r="G61" s="72">
        <f t="shared" ca="1" si="1"/>
        <v>5.99342795715882E-2</v>
      </c>
      <c r="H61">
        <f t="shared" ca="1" si="2"/>
        <v>4098.4197109147863</v>
      </c>
    </row>
    <row r="62" spans="5:8" x14ac:dyDescent="0.2">
      <c r="E62" s="2">
        <f ca="1"/>
        <v>0.81125983008005065</v>
      </c>
      <c r="F62" s="2">
        <f t="shared" ca="1" si="0"/>
        <v>0.88254836031678607</v>
      </c>
      <c r="G62" s="72">
        <f t="shared" ca="1" si="1"/>
        <v>0.22063709007919652</v>
      </c>
      <c r="H62">
        <f t="shared" ca="1" si="2"/>
        <v>4812.9214680505756</v>
      </c>
    </row>
    <row r="63" spans="5:8" x14ac:dyDescent="0.2">
      <c r="E63" s="2">
        <f ca="1"/>
        <v>0.43607821628426713</v>
      </c>
      <c r="F63" s="2">
        <f t="shared" ca="1" si="0"/>
        <v>-0.16091997118173856</v>
      </c>
      <c r="G63" s="72">
        <f t="shared" ca="1" si="1"/>
        <v>-4.0229992795434641E-2</v>
      </c>
      <c r="H63">
        <f t="shared" ca="1" si="2"/>
        <v>3707.7943710631339</v>
      </c>
    </row>
    <row r="64" spans="5:8" x14ac:dyDescent="0.2">
      <c r="E64" s="2">
        <f ca="1"/>
        <v>0.48386403219390495</v>
      </c>
      <c r="F64" s="2">
        <f t="shared" ca="1" si="0"/>
        <v>-4.045790763426186E-2</v>
      </c>
      <c r="G64" s="72">
        <f t="shared" ca="1" si="1"/>
        <v>-1.0114476908565465E-2</v>
      </c>
      <c r="H64">
        <f t="shared" ca="1" si="2"/>
        <v>3821.1548992327735</v>
      </c>
    </row>
    <row r="65" spans="5:8" x14ac:dyDescent="0.2">
      <c r="E65" s="2">
        <f ca="1"/>
        <v>0.82366609806979296</v>
      </c>
      <c r="F65" s="2">
        <f t="shared" ca="1" si="0"/>
        <v>0.92942707100379029</v>
      </c>
      <c r="G65" s="72">
        <f t="shared" ca="1" si="1"/>
        <v>0.23235676775094757</v>
      </c>
      <c r="H65">
        <f t="shared" ca="1" si="2"/>
        <v>4869.659180755033</v>
      </c>
    </row>
    <row r="66" spans="5:8" x14ac:dyDescent="0.2">
      <c r="E66" s="2">
        <f ca="1"/>
        <v>0.76871506693302161</v>
      </c>
      <c r="F66" s="2">
        <f t="shared" ca="1" si="0"/>
        <v>0.73462178594134597</v>
      </c>
      <c r="G66" s="72">
        <f t="shared" ca="1" si="1"/>
        <v>0.18365544648533649</v>
      </c>
      <c r="H66">
        <f t="shared" ca="1" si="2"/>
        <v>4638.1826996534273</v>
      </c>
    </row>
    <row r="67" spans="5:8" x14ac:dyDescent="0.2">
      <c r="E67" s="2">
        <f ca="1"/>
        <v>0.2494828023958644</v>
      </c>
      <c r="F67" s="2">
        <f t="shared" ca="1" si="0"/>
        <v>-0.67611819598607725</v>
      </c>
      <c r="G67" s="72">
        <f t="shared" ca="1" si="1"/>
        <v>-0.16902954899651931</v>
      </c>
      <c r="H67">
        <f t="shared" ca="1" si="2"/>
        <v>3259.7080445453203</v>
      </c>
    </row>
    <row r="68" spans="5:8" x14ac:dyDescent="0.2">
      <c r="E68" s="2">
        <f ca="1"/>
        <v>0.82809313693317566</v>
      </c>
      <c r="F68" s="2">
        <f t="shared" ca="1" si="0"/>
        <v>0.94665672992103089</v>
      </c>
      <c r="G68" s="72">
        <f t="shared" ca="1" si="1"/>
        <v>0.23666418248025772</v>
      </c>
      <c r="H68">
        <f t="shared" ca="1" si="2"/>
        <v>4890.6800627638668</v>
      </c>
    </row>
    <row r="69" spans="5:8" x14ac:dyDescent="0.2">
      <c r="E69" s="2">
        <f ca="1"/>
        <v>8.2717475500923454E-2</v>
      </c>
      <c r="F69" s="2">
        <f t="shared" ca="1" si="0"/>
        <v>-1.3870223394099626</v>
      </c>
      <c r="G69" s="72">
        <f t="shared" ca="1" si="1"/>
        <v>-0.34675558485249064</v>
      </c>
      <c r="H69">
        <f t="shared" ca="1" si="2"/>
        <v>2728.9354787375155</v>
      </c>
    </row>
    <row r="70" spans="5:8" x14ac:dyDescent="0.2">
      <c r="E70" s="2">
        <f ca="1"/>
        <v>0.34319308987990227</v>
      </c>
      <c r="F70" s="2">
        <f t="shared" ca="1" si="0"/>
        <v>-0.40376412497633213</v>
      </c>
      <c r="G70" s="72">
        <f t="shared" ca="1" si="1"/>
        <v>-0.10094103124408303</v>
      </c>
      <c r="H70">
        <f t="shared" ca="1" si="2"/>
        <v>3489.3872656986773</v>
      </c>
    </row>
    <row r="71" spans="5:8" x14ac:dyDescent="0.2">
      <c r="E71" s="2">
        <f ca="1"/>
        <v>0.66159908640412857</v>
      </c>
      <c r="F71" s="2">
        <f t="shared" ca="1" si="0"/>
        <v>0.41683127171960854</v>
      </c>
      <c r="G71" s="72">
        <f t="shared" ca="1" si="1"/>
        <v>0.10420781792990214</v>
      </c>
      <c r="H71">
        <f t="shared" ca="1" si="2"/>
        <v>4283.947944666028</v>
      </c>
    </row>
    <row r="72" spans="5:8" x14ac:dyDescent="0.2">
      <c r="E72" s="2">
        <f ca="1"/>
        <v>0.23737338285933252</v>
      </c>
      <c r="F72" s="2">
        <f t="shared" ca="1" si="0"/>
        <v>-0.71477713537291354</v>
      </c>
      <c r="G72" s="72">
        <f t="shared" ca="1" si="1"/>
        <v>-0.17869428384322839</v>
      </c>
      <c r="H72">
        <f t="shared" ca="1" si="2"/>
        <v>3228.3555812840527</v>
      </c>
    </row>
    <row r="73" spans="5:8" x14ac:dyDescent="0.2">
      <c r="E73" s="2">
        <f ca="1"/>
        <v>0.54866361620195181</v>
      </c>
      <c r="F73" s="2">
        <f t="shared" ca="1" si="0"/>
        <v>0.12228568630080895</v>
      </c>
      <c r="G73" s="72">
        <f t="shared" ca="1" si="1"/>
        <v>3.0571421575202238E-2</v>
      </c>
      <c r="H73">
        <f t="shared" ca="1" si="2"/>
        <v>3979.8280110234832</v>
      </c>
    </row>
    <row r="74" spans="5:8" x14ac:dyDescent="0.2">
      <c r="E74" s="2">
        <f ca="1"/>
        <v>0.83021679891155342</v>
      </c>
      <c r="F74" s="2">
        <f t="shared" ca="1" si="0"/>
        <v>0.95502233501264</v>
      </c>
      <c r="G74" s="72">
        <f t="shared" ca="1" si="1"/>
        <v>0.23875558375316</v>
      </c>
      <c r="H74">
        <f t="shared" ca="1" si="2"/>
        <v>4900.9191405505389</v>
      </c>
    </row>
    <row r="75" spans="5:8" x14ac:dyDescent="0.2">
      <c r="E75" s="2">
        <f ca="1"/>
        <v>0.76654972627376994</v>
      </c>
      <c r="F75" s="2">
        <f t="shared" ca="1" si="0"/>
        <v>0.72753130152393541</v>
      </c>
      <c r="G75" s="72">
        <f t="shared" ca="1" si="1"/>
        <v>0.18188282538098385</v>
      </c>
      <c r="H75">
        <f t="shared" ca="1" si="2"/>
        <v>4629.9682418257771</v>
      </c>
    </row>
    <row r="76" spans="5:8" x14ac:dyDescent="0.2">
      <c r="E76" s="2">
        <f ca="1"/>
        <v>0.82297317463879582</v>
      </c>
      <c r="F76" s="2">
        <f t="shared" ca="1" si="0"/>
        <v>0.92675519893316005</v>
      </c>
      <c r="G76" s="72">
        <f t="shared" ca="1" si="1"/>
        <v>0.23168879973329001</v>
      </c>
      <c r="H76">
        <f t="shared" ca="1" si="2"/>
        <v>4866.4074902989132</v>
      </c>
    </row>
    <row r="77" spans="5:8" x14ac:dyDescent="0.2">
      <c r="E77" s="2">
        <f ca="1"/>
        <v>5.1853628458741419E-2</v>
      </c>
      <c r="F77" s="2">
        <f t="shared" ca="1" si="0"/>
        <v>-1.6271405199114564</v>
      </c>
      <c r="G77" s="72">
        <f t="shared" ca="1" si="1"/>
        <v>-0.40678512997786409</v>
      </c>
      <c r="H77">
        <f t="shared" ca="1" si="2"/>
        <v>2569.9387180314393</v>
      </c>
    </row>
    <row r="78" spans="5:8" x14ac:dyDescent="0.2">
      <c r="E78" s="2">
        <f ca="1"/>
        <v>0.28966243112481949</v>
      </c>
      <c r="F78" s="2">
        <f t="shared" ca="1" si="0"/>
        <v>-0.55437115561757155</v>
      </c>
      <c r="G78" s="72">
        <f t="shared" ca="1" si="1"/>
        <v>-0.13859278890439289</v>
      </c>
      <c r="H78">
        <f t="shared" ca="1" si="2"/>
        <v>3360.4483231138092</v>
      </c>
    </row>
    <row r="79" spans="5:8" x14ac:dyDescent="0.2">
      <c r="E79" s="2">
        <f ca="1"/>
        <v>1.6239518369920436E-3</v>
      </c>
      <c r="F79" s="2">
        <f t="shared" ca="1" si="0"/>
        <v>-2.9432458604630933</v>
      </c>
      <c r="G79" s="72">
        <f t="shared" ca="1" si="1"/>
        <v>-0.73581146511577333</v>
      </c>
      <c r="H79">
        <f t="shared" ca="1" si="2"/>
        <v>1849.3897473238949</v>
      </c>
    </row>
    <row r="80" spans="5:8" x14ac:dyDescent="0.2">
      <c r="E80" s="2">
        <f ca="1"/>
        <v>0.74993338696270073</v>
      </c>
      <c r="F80" s="2">
        <f t="shared" ca="1" si="0"/>
        <v>0.67428014277120329</v>
      </c>
      <c r="G80" s="72">
        <f t="shared" ca="1" si="1"/>
        <v>0.16857003569280082</v>
      </c>
      <c r="H80">
        <f t="shared" ca="1" si="2"/>
        <v>4568.7389192120208</v>
      </c>
    </row>
    <row r="81" spans="5:8" x14ac:dyDescent="0.2">
      <c r="E81" s="2">
        <f ca="1"/>
        <v>0.74667754224026117</v>
      </c>
      <c r="F81" s="2">
        <f t="shared" ca="1" si="0"/>
        <v>0.6640709288562151</v>
      </c>
      <c r="G81" s="72">
        <f t="shared" ca="1" si="1"/>
        <v>0.16601773221405378</v>
      </c>
      <c r="H81">
        <f t="shared" ca="1" si="2"/>
        <v>4557.092979283575</v>
      </c>
    </row>
    <row r="82" spans="5:8" x14ac:dyDescent="0.2">
      <c r="E82" s="2">
        <f ca="1"/>
        <v>0.84990193094103983</v>
      </c>
      <c r="F82" s="2">
        <f t="shared" ca="1" si="0"/>
        <v>1.036012870505854</v>
      </c>
      <c r="G82" s="72">
        <f t="shared" ca="1" si="1"/>
        <v>0.2590032176264635</v>
      </c>
      <c r="H82">
        <f t="shared" ca="1" si="2"/>
        <v>5001.1625784834387</v>
      </c>
    </row>
    <row r="83" spans="5:8" x14ac:dyDescent="0.2">
      <c r="E83" s="2">
        <f ca="1"/>
        <v>2.8061913006903527E-2</v>
      </c>
      <c r="F83" s="2">
        <f t="shared" ref="F83:F146" ca="1" si="3">_xlfn.NORM.S.INV(E83)</f>
        <v>-1.9100729131719576</v>
      </c>
      <c r="G83" s="72">
        <f t="shared" ref="G83:G146" ca="1" si="4">$G$12+$G$13*F83</f>
        <v>-0.4775182282929894</v>
      </c>
      <c r="H83">
        <f t="shared" ref="H83:H146" ca="1" si="5">$G$11*EXP(G83)</f>
        <v>2394.4389754682547</v>
      </c>
    </row>
    <row r="84" spans="5:8" x14ac:dyDescent="0.2">
      <c r="E84" s="2">
        <f ca="1"/>
        <v>0.75602791383378287</v>
      </c>
      <c r="F84" s="2">
        <f t="shared" ca="1" si="3"/>
        <v>0.69358233933566882</v>
      </c>
      <c r="G84" s="72">
        <f t="shared" ca="1" si="4"/>
        <v>0.1733955848339172</v>
      </c>
      <c r="H84">
        <f t="shared" ca="1" si="5"/>
        <v>4590.8388727005931</v>
      </c>
    </row>
    <row r="85" spans="5:8" x14ac:dyDescent="0.2">
      <c r="E85" s="2">
        <f ca="1"/>
        <v>0.93919024506535509</v>
      </c>
      <c r="F85" s="2">
        <f t="shared" ca="1" si="3"/>
        <v>1.5480115743290837</v>
      </c>
      <c r="G85" s="72">
        <f t="shared" ca="1" si="4"/>
        <v>0.38700289358227091</v>
      </c>
      <c r="H85">
        <f t="shared" ca="1" si="5"/>
        <v>5684.0845036566534</v>
      </c>
    </row>
    <row r="86" spans="5:8" x14ac:dyDescent="0.2">
      <c r="E86" s="2">
        <f ca="1"/>
        <v>0.62644255490124645</v>
      </c>
      <c r="F86" s="2">
        <f t="shared" ca="1" si="3"/>
        <v>0.32244593444847075</v>
      </c>
      <c r="G86" s="72">
        <f t="shared" ca="1" si="4"/>
        <v>8.0611483612117688E-2</v>
      </c>
      <c r="H86">
        <f t="shared" ca="1" si="5"/>
        <v>4184.0457745753629</v>
      </c>
    </row>
    <row r="87" spans="5:8" x14ac:dyDescent="0.2">
      <c r="E87" s="2">
        <f ca="1"/>
        <v>0.38794817743156096</v>
      </c>
      <c r="F87" s="2">
        <f t="shared" ca="1" si="3"/>
        <v>-0.28467081145088763</v>
      </c>
      <c r="G87" s="72">
        <f t="shared" ca="1" si="4"/>
        <v>-7.1167702862721907E-2</v>
      </c>
      <c r="H87">
        <f t="shared" ca="1" si="5"/>
        <v>3594.8399881015584</v>
      </c>
    </row>
    <row r="88" spans="5:8" x14ac:dyDescent="0.2">
      <c r="E88" s="2">
        <f ca="1"/>
        <v>9.2189404007287479E-2</v>
      </c>
      <c r="F88" s="2">
        <f t="shared" ca="1" si="3"/>
        <v>-1.3273927157998688</v>
      </c>
      <c r="G88" s="72">
        <f t="shared" ca="1" si="4"/>
        <v>-0.33184817894996721</v>
      </c>
      <c r="H88">
        <f t="shared" ca="1" si="5"/>
        <v>2769.9215666976957</v>
      </c>
    </row>
    <row r="89" spans="5:8" x14ac:dyDescent="0.2">
      <c r="E89" s="2">
        <f ca="1"/>
        <v>0.21380459848142985</v>
      </c>
      <c r="F89" s="2">
        <f t="shared" ca="1" si="3"/>
        <v>-0.79328945875064771</v>
      </c>
      <c r="G89" s="72">
        <f t="shared" ca="1" si="4"/>
        <v>-0.19832236468766193</v>
      </c>
      <c r="H89">
        <f t="shared" ca="1" si="5"/>
        <v>3165.6069887028348</v>
      </c>
    </row>
    <row r="90" spans="5:8" x14ac:dyDescent="0.2">
      <c r="E90" s="2">
        <f ca="1"/>
        <v>5.3486662987842992E-2</v>
      </c>
      <c r="F90" s="2">
        <f t="shared" ca="1" si="3"/>
        <v>-1.6119476774389381</v>
      </c>
      <c r="G90" s="72">
        <f t="shared" ca="1" si="4"/>
        <v>-0.40298691935973452</v>
      </c>
      <c r="H90">
        <f t="shared" ca="1" si="5"/>
        <v>2579.7184475372433</v>
      </c>
    </row>
    <row r="91" spans="5:8" x14ac:dyDescent="0.2">
      <c r="E91" s="2">
        <f ca="1"/>
        <v>0.54013005395752045</v>
      </c>
      <c r="F91" s="2">
        <f t="shared" ca="1" si="3"/>
        <v>0.10076137114300032</v>
      </c>
      <c r="G91" s="72">
        <f t="shared" ca="1" si="4"/>
        <v>2.5190342785750081E-2</v>
      </c>
      <c r="H91">
        <f t="shared" ca="1" si="5"/>
        <v>3958.4697596817859</v>
      </c>
    </row>
    <row r="92" spans="5:8" x14ac:dyDescent="0.2">
      <c r="E92" s="2">
        <f ca="1"/>
        <v>0.87705997105306976</v>
      </c>
      <c r="F92" s="2">
        <f t="shared" ca="1" si="3"/>
        <v>1.160414569045888</v>
      </c>
      <c r="G92" s="72">
        <f t="shared" ca="1" si="4"/>
        <v>0.29010364226147201</v>
      </c>
      <c r="H92">
        <f t="shared" ca="1" si="5"/>
        <v>5159.1447815026559</v>
      </c>
    </row>
    <row r="93" spans="5:8" x14ac:dyDescent="0.2">
      <c r="E93" s="2">
        <f ca="1"/>
        <v>0.71911682604235794</v>
      </c>
      <c r="F93" s="2">
        <f t="shared" ca="1" si="3"/>
        <v>0.5802198816099311</v>
      </c>
      <c r="G93" s="72">
        <f t="shared" ca="1" si="4"/>
        <v>0.14505497040248277</v>
      </c>
      <c r="H93">
        <f t="shared" ca="1" si="5"/>
        <v>4462.5580431040626</v>
      </c>
    </row>
    <row r="94" spans="5:8" x14ac:dyDescent="0.2">
      <c r="E94" s="2">
        <f ca="1"/>
        <v>0.49204839167061931</v>
      </c>
      <c r="F94" s="2">
        <f t="shared" ca="1" si="3"/>
        <v>-1.9933046175897504E-2</v>
      </c>
      <c r="G94" s="72">
        <f t="shared" ca="1" si="4"/>
        <v>-4.9832615439743761E-3</v>
      </c>
      <c r="H94">
        <f t="shared" ca="1" si="5"/>
        <v>3840.8124584161433</v>
      </c>
    </row>
    <row r="95" spans="5:8" x14ac:dyDescent="0.2">
      <c r="E95" s="2">
        <f ca="1"/>
        <v>0.3548580351784405</v>
      </c>
      <c r="F95" s="2">
        <f t="shared" ca="1" si="3"/>
        <v>-0.37223744306106127</v>
      </c>
      <c r="G95" s="72">
        <f t="shared" ca="1" si="4"/>
        <v>-9.3059360765265317E-2</v>
      </c>
      <c r="H95">
        <f t="shared" ca="1" si="5"/>
        <v>3516.9981332459297</v>
      </c>
    </row>
    <row r="96" spans="5:8" x14ac:dyDescent="0.2">
      <c r="E96" s="2">
        <f ca="1"/>
        <v>0.38243099667347713</v>
      </c>
      <c r="F96" s="2">
        <f t="shared" ca="1" si="3"/>
        <v>-0.29910229748285883</v>
      </c>
      <c r="G96" s="72">
        <f t="shared" ca="1" si="4"/>
        <v>-7.4775574370714706E-2</v>
      </c>
      <c r="H96">
        <f t="shared" ca="1" si="5"/>
        <v>3581.8936357638281</v>
      </c>
    </row>
    <row r="97" spans="5:8" x14ac:dyDescent="0.2">
      <c r="E97" s="2">
        <f ca="1"/>
        <v>0.26204608732642409</v>
      </c>
      <c r="F97" s="2">
        <f t="shared" ca="1" si="3"/>
        <v>-0.63705015492745443</v>
      </c>
      <c r="G97" s="72">
        <f t="shared" ca="1" si="4"/>
        <v>-0.15926253873186361</v>
      </c>
      <c r="H97">
        <f t="shared" ca="1" si="5"/>
        <v>3291.7016329956418</v>
      </c>
    </row>
    <row r="98" spans="5:8" x14ac:dyDescent="0.2">
      <c r="E98" s="2">
        <f ca="1"/>
        <v>0.93771378264218685</v>
      </c>
      <c r="F98" s="2">
        <f t="shared" ca="1" si="3"/>
        <v>1.5358611643194897</v>
      </c>
      <c r="G98" s="72">
        <f t="shared" ca="1" si="4"/>
        <v>0.38396529107987243</v>
      </c>
      <c r="H98">
        <f t="shared" ca="1" si="5"/>
        <v>5666.8447114185255</v>
      </c>
    </row>
    <row r="99" spans="5:8" x14ac:dyDescent="0.2">
      <c r="E99" s="2">
        <f ca="1"/>
        <v>4.3097686100415533E-2</v>
      </c>
      <c r="F99" s="2">
        <f t="shared" ca="1" si="3"/>
        <v>-1.7158179257799617</v>
      </c>
      <c r="G99" s="72">
        <f t="shared" ca="1" si="4"/>
        <v>-0.42895448144499043</v>
      </c>
      <c r="H99">
        <f t="shared" ca="1" si="5"/>
        <v>2513.5917390986688</v>
      </c>
    </row>
    <row r="100" spans="5:8" x14ac:dyDescent="0.2">
      <c r="E100" s="2">
        <f ca="1"/>
        <v>0.66198117107843557</v>
      </c>
      <c r="F100" s="2">
        <f t="shared" ca="1" si="3"/>
        <v>0.41787616797155908</v>
      </c>
      <c r="G100" s="72">
        <f t="shared" ca="1" si="4"/>
        <v>0.10446904199288977</v>
      </c>
      <c r="H100">
        <f t="shared" ca="1" si="5"/>
        <v>4285.0671611305333</v>
      </c>
    </row>
    <row r="101" spans="5:8" x14ac:dyDescent="0.2">
      <c r="E101" s="2">
        <f ca="1"/>
        <v>0.9477500053863277</v>
      </c>
      <c r="F101" s="2">
        <f t="shared" ca="1" si="3"/>
        <v>1.6234184222237815</v>
      </c>
      <c r="G101" s="72">
        <f t="shared" ca="1" si="4"/>
        <v>0.40585460555594538</v>
      </c>
      <c r="H101">
        <f t="shared" ca="1" si="5"/>
        <v>5792.2556294750975</v>
      </c>
    </row>
    <row r="102" spans="5:8" x14ac:dyDescent="0.2">
      <c r="E102" s="2">
        <f ca="1"/>
        <v>0.11707036290917516</v>
      </c>
      <c r="F102" s="2">
        <f t="shared" ca="1" si="3"/>
        <v>-1.1897600242602571</v>
      </c>
      <c r="G102" s="72">
        <f t="shared" ca="1" si="4"/>
        <v>-0.29744000606506427</v>
      </c>
      <c r="H102">
        <f t="shared" ca="1" si="5"/>
        <v>2866.8881619748249</v>
      </c>
    </row>
    <row r="103" spans="5:8" x14ac:dyDescent="0.2">
      <c r="E103" s="2">
        <f ca="1"/>
        <v>0.77514009663264605</v>
      </c>
      <c r="F103" s="2">
        <f t="shared" ca="1" si="3"/>
        <v>0.75588223381207087</v>
      </c>
      <c r="G103" s="72">
        <f t="shared" ca="1" si="4"/>
        <v>0.18897055845301772</v>
      </c>
      <c r="H103">
        <f t="shared" ca="1" si="5"/>
        <v>4662.9007915503416</v>
      </c>
    </row>
    <row r="104" spans="5:8" x14ac:dyDescent="0.2">
      <c r="E104" s="2">
        <f ca="1"/>
        <v>0.15261700658100641</v>
      </c>
      <c r="F104" s="2">
        <f t="shared" ca="1" si="3"/>
        <v>-1.0252738028773776</v>
      </c>
      <c r="G104" s="72">
        <f t="shared" ca="1" si="4"/>
        <v>-0.25631845071934439</v>
      </c>
      <c r="H104">
        <f t="shared" ca="1" si="5"/>
        <v>2987.2365604213655</v>
      </c>
    </row>
    <row r="105" spans="5:8" x14ac:dyDescent="0.2">
      <c r="E105" s="2">
        <f ca="1"/>
        <v>0.18424629491708333</v>
      </c>
      <c r="F105" s="2">
        <f t="shared" ca="1" si="3"/>
        <v>-0.8993005587678512</v>
      </c>
      <c r="G105" s="72">
        <f t="shared" ca="1" si="4"/>
        <v>-0.2248251396919628</v>
      </c>
      <c r="H105">
        <f t="shared" ca="1" si="5"/>
        <v>3082.8116186729835</v>
      </c>
    </row>
    <row r="106" spans="5:8" x14ac:dyDescent="0.2">
      <c r="E106" s="2">
        <f ca="1"/>
        <v>0.48184600571472624</v>
      </c>
      <c r="F106" s="2">
        <f t="shared" ca="1" si="3"/>
        <v>-4.5521031663931941E-2</v>
      </c>
      <c r="G106" s="72">
        <f t="shared" ca="1" si="4"/>
        <v>-1.1380257915982985E-2</v>
      </c>
      <c r="H106">
        <f t="shared" ca="1" si="5"/>
        <v>3816.3212137739274</v>
      </c>
    </row>
    <row r="107" spans="5:8" x14ac:dyDescent="0.2">
      <c r="E107" s="2">
        <f ca="1"/>
        <v>0.28580753872346909</v>
      </c>
      <c r="F107" s="2">
        <f t="shared" ca="1" si="3"/>
        <v>-0.56567449343670262</v>
      </c>
      <c r="G107" s="72">
        <f t="shared" ca="1" si="4"/>
        <v>-0.14141862335917565</v>
      </c>
      <c r="H107">
        <f t="shared" ca="1" si="5"/>
        <v>3350.9656569913554</v>
      </c>
    </row>
    <row r="108" spans="5:8" x14ac:dyDescent="0.2">
      <c r="E108" s="2">
        <f ca="1"/>
        <v>0.8468435130429024</v>
      </c>
      <c r="F108" s="2">
        <f t="shared" ca="1" si="3"/>
        <v>1.0229891541196299</v>
      </c>
      <c r="G108" s="72">
        <f t="shared" ca="1" si="4"/>
        <v>0.25574728852990747</v>
      </c>
      <c r="H108">
        <f t="shared" ca="1" si="5"/>
        <v>4984.9056278286362</v>
      </c>
    </row>
    <row r="109" spans="5:8" x14ac:dyDescent="0.2">
      <c r="E109" s="2">
        <f ca="1"/>
        <v>0.68320570502511679</v>
      </c>
      <c r="F109" s="2">
        <f t="shared" ca="1" si="3"/>
        <v>0.47668198929266042</v>
      </c>
      <c r="G109" s="72">
        <f t="shared" ca="1" si="4"/>
        <v>0.11917049732316511</v>
      </c>
      <c r="H109">
        <f t="shared" ca="1" si="5"/>
        <v>4348.5292339863026</v>
      </c>
    </row>
    <row r="110" spans="5:8" x14ac:dyDescent="0.2">
      <c r="E110" s="2">
        <f ca="1"/>
        <v>0.57717358027981835</v>
      </c>
      <c r="F110" s="2">
        <f t="shared" ca="1" si="3"/>
        <v>0.19466803253475115</v>
      </c>
      <c r="G110" s="72">
        <f t="shared" ca="1" si="4"/>
        <v>4.8667008133687788E-2</v>
      </c>
      <c r="H110">
        <f t="shared" ca="1" si="5"/>
        <v>4052.5008793226216</v>
      </c>
    </row>
    <row r="111" spans="5:8" x14ac:dyDescent="0.2">
      <c r="E111" s="2">
        <f ca="1"/>
        <v>0.96808803683313061</v>
      </c>
      <c r="F111" s="2">
        <f t="shared" ca="1" si="3"/>
        <v>1.8534078269260685</v>
      </c>
      <c r="G111" s="72">
        <f t="shared" ca="1" si="4"/>
        <v>0.46335195673151713</v>
      </c>
      <c r="H111">
        <f t="shared" ca="1" si="5"/>
        <v>6135.0555959003241</v>
      </c>
    </row>
    <row r="112" spans="5:8" x14ac:dyDescent="0.2">
      <c r="E112" s="2">
        <f ca="1"/>
        <v>0.58446668970167437</v>
      </c>
      <c r="F112" s="2">
        <f t="shared" ca="1" si="3"/>
        <v>0.21333378861403043</v>
      </c>
      <c r="G112" s="72">
        <f t="shared" ca="1" si="4"/>
        <v>5.3333447153507609E-2</v>
      </c>
      <c r="H112">
        <f t="shared" ca="1" si="5"/>
        <v>4071.4558191929245</v>
      </c>
    </row>
    <row r="113" spans="5:8" x14ac:dyDescent="0.2">
      <c r="E113" s="2">
        <f ca="1"/>
        <v>0.74876268416343716</v>
      </c>
      <c r="F113" s="2">
        <f t="shared" ca="1" si="3"/>
        <v>0.67060117831530175</v>
      </c>
      <c r="G113" s="72">
        <f t="shared" ca="1" si="4"/>
        <v>0.16765029457882544</v>
      </c>
      <c r="H113">
        <f t="shared" ca="1" si="5"/>
        <v>4564.538793999006</v>
      </c>
    </row>
    <row r="114" spans="5:8" x14ac:dyDescent="0.2">
      <c r="E114" s="2">
        <f ca="1"/>
        <v>0.89573390500965266</v>
      </c>
      <c r="F114" s="2">
        <f t="shared" ca="1" si="3"/>
        <v>1.2576117828295623</v>
      </c>
      <c r="G114" s="72">
        <f t="shared" ca="1" si="4"/>
        <v>0.31440294570739058</v>
      </c>
      <c r="H114">
        <f t="shared" ca="1" si="5"/>
        <v>5286.0439427113915</v>
      </c>
    </row>
    <row r="115" spans="5:8" x14ac:dyDescent="0.2">
      <c r="E115" s="2">
        <f ca="1"/>
        <v>0.12210229587757038</v>
      </c>
      <c r="F115" s="2">
        <f t="shared" ca="1" si="3"/>
        <v>-1.164541607938792</v>
      </c>
      <c r="G115" s="72">
        <f t="shared" ca="1" si="4"/>
        <v>-0.29113540198469801</v>
      </c>
      <c r="H115">
        <f t="shared" ca="1" si="5"/>
        <v>2885.0198532880686</v>
      </c>
    </row>
    <row r="116" spans="5:8" x14ac:dyDescent="0.2">
      <c r="E116" s="2">
        <f ca="1"/>
        <v>0.35435749458656995</v>
      </c>
      <c r="F116" s="2">
        <f t="shared" ca="1" si="3"/>
        <v>-0.37358245505746945</v>
      </c>
      <c r="G116" s="72">
        <f t="shared" ca="1" si="4"/>
        <v>-9.3395613764367363E-2</v>
      </c>
      <c r="H116">
        <f t="shared" ca="1" si="5"/>
        <v>3515.815730880101</v>
      </c>
    </row>
    <row r="117" spans="5:8" x14ac:dyDescent="0.2">
      <c r="E117" s="2">
        <f ca="1"/>
        <v>0.14620029608022844</v>
      </c>
      <c r="F117" s="2">
        <f t="shared" ca="1" si="3"/>
        <v>-1.052869967510639</v>
      </c>
      <c r="G117" s="72">
        <f t="shared" ca="1" si="4"/>
        <v>-0.26321749187765975</v>
      </c>
      <c r="H117">
        <f t="shared" ca="1" si="5"/>
        <v>2966.6984206395887</v>
      </c>
    </row>
    <row r="118" spans="5:8" x14ac:dyDescent="0.2">
      <c r="E118" s="2">
        <f ca="1"/>
        <v>0.87460059329827455</v>
      </c>
      <c r="F118" s="2">
        <f t="shared" ca="1" si="3"/>
        <v>1.1484112941898879</v>
      </c>
      <c r="G118" s="72">
        <f t="shared" ca="1" si="4"/>
        <v>0.28710282354747196</v>
      </c>
      <c r="H118">
        <f t="shared" ca="1" si="5"/>
        <v>5143.6863289011817</v>
      </c>
    </row>
    <row r="119" spans="5:8" x14ac:dyDescent="0.2">
      <c r="E119" s="2">
        <f ca="1"/>
        <v>0.6568533743429168</v>
      </c>
      <c r="F119" s="2">
        <f t="shared" ca="1" si="3"/>
        <v>0.40389048806199052</v>
      </c>
      <c r="G119" s="72">
        <f t="shared" ca="1" si="4"/>
        <v>0.10097262201549763</v>
      </c>
      <c r="H119">
        <f t="shared" ca="1" si="5"/>
        <v>4270.1109285756347</v>
      </c>
    </row>
    <row r="120" spans="5:8" x14ac:dyDescent="0.2">
      <c r="E120" s="2">
        <f ca="1"/>
        <v>0.48995037816428488</v>
      </c>
      <c r="F120" s="2">
        <f t="shared" ca="1" si="3"/>
        <v>-2.5193331040076206E-2</v>
      </c>
      <c r="G120" s="72">
        <f t="shared" ca="1" si="4"/>
        <v>-6.2983327600190514E-3</v>
      </c>
      <c r="H120">
        <f t="shared" ca="1" si="5"/>
        <v>3835.7648362246327</v>
      </c>
    </row>
    <row r="121" spans="5:8" x14ac:dyDescent="0.2">
      <c r="E121" s="2">
        <f ca="1"/>
        <v>0.19414428610294698</v>
      </c>
      <c r="F121" s="2">
        <f t="shared" ca="1" si="3"/>
        <v>-0.86272520264028485</v>
      </c>
      <c r="G121" s="72">
        <f t="shared" ca="1" si="4"/>
        <v>-0.21568130066007121</v>
      </c>
      <c r="H121">
        <f t="shared" ca="1" si="5"/>
        <v>3111.129622207864</v>
      </c>
    </row>
    <row r="122" spans="5:8" x14ac:dyDescent="0.2">
      <c r="E122" s="2">
        <f ca="1"/>
        <v>0.12707480250721348</v>
      </c>
      <c r="F122" s="2">
        <f t="shared" ca="1" si="3"/>
        <v>-1.1403281722813043</v>
      </c>
      <c r="G122" s="72">
        <f t="shared" ca="1" si="4"/>
        <v>-0.28508204307032609</v>
      </c>
      <c r="H122">
        <f t="shared" ca="1" si="5"/>
        <v>2902.5368788666901</v>
      </c>
    </row>
    <row r="123" spans="5:8" x14ac:dyDescent="0.2">
      <c r="E123" s="2">
        <f ca="1"/>
        <v>0.77134788497943041</v>
      </c>
      <c r="F123" s="2">
        <f t="shared" ca="1" si="3"/>
        <v>0.7432931298955171</v>
      </c>
      <c r="G123" s="72">
        <f t="shared" ca="1" si="4"/>
        <v>0.18582328247387928</v>
      </c>
      <c r="H123">
        <f t="shared" ca="1" si="5"/>
        <v>4648.2484255105537</v>
      </c>
    </row>
    <row r="124" spans="5:8" x14ac:dyDescent="0.2">
      <c r="E124" s="2">
        <f ca="1"/>
        <v>0.34886384807709958</v>
      </c>
      <c r="F124" s="2">
        <f t="shared" ca="1" si="3"/>
        <v>-0.38838965840187589</v>
      </c>
      <c r="G124" s="72">
        <f t="shared" ca="1" si="4"/>
        <v>-9.7097414600468973E-2</v>
      </c>
      <c r="H124">
        <f t="shared" ca="1" si="5"/>
        <v>3502.824940761564</v>
      </c>
    </row>
    <row r="125" spans="5:8" x14ac:dyDescent="0.2">
      <c r="E125" s="2">
        <f ca="1"/>
        <v>0.99180852171854461</v>
      </c>
      <c r="F125" s="2">
        <f t="shared" ca="1" si="3"/>
        <v>2.4002705843914653</v>
      </c>
      <c r="G125" s="72">
        <f t="shared" ca="1" si="4"/>
        <v>0.60006764609786634</v>
      </c>
      <c r="H125">
        <f t="shared" ca="1" si="5"/>
        <v>7033.8543662151224</v>
      </c>
    </row>
    <row r="126" spans="5:8" x14ac:dyDescent="0.2">
      <c r="E126" s="2">
        <f ca="1"/>
        <v>0.15741948586511878</v>
      </c>
      <c r="F126" s="2">
        <f t="shared" ca="1" si="3"/>
        <v>-1.0051202056298085</v>
      </c>
      <c r="G126" s="72">
        <f t="shared" ca="1" si="4"/>
        <v>-0.25128005140745213</v>
      </c>
      <c r="H126">
        <f t="shared" ca="1" si="5"/>
        <v>3002.3254310096236</v>
      </c>
    </row>
    <row r="127" spans="5:8" x14ac:dyDescent="0.2">
      <c r="E127" s="2">
        <f ca="1"/>
        <v>1.4924302328321204E-2</v>
      </c>
      <c r="F127" s="2">
        <f t="shared" ca="1" si="3"/>
        <v>-2.1720935862606598</v>
      </c>
      <c r="G127" s="72">
        <f t="shared" ca="1" si="4"/>
        <v>-0.54302339656516496</v>
      </c>
      <c r="H127">
        <f t="shared" ca="1" si="5"/>
        <v>2242.6176714592043</v>
      </c>
    </row>
    <row r="128" spans="5:8" x14ac:dyDescent="0.2">
      <c r="E128" s="2">
        <f ca="1"/>
        <v>0.2382322833680719</v>
      </c>
      <c r="F128" s="2">
        <f t="shared" ca="1" si="3"/>
        <v>-0.71200033797110873</v>
      </c>
      <c r="G128" s="72">
        <f t="shared" ca="1" si="4"/>
        <v>-0.17800008449277718</v>
      </c>
      <c r="H128">
        <f t="shared" ca="1" si="5"/>
        <v>3230.5974817044803</v>
      </c>
    </row>
    <row r="129" spans="5:8" x14ac:dyDescent="0.2">
      <c r="E129" s="2">
        <f ca="1"/>
        <v>0.63538857200432397</v>
      </c>
      <c r="F129" s="2">
        <f t="shared" ca="1" si="3"/>
        <v>0.3461594915404268</v>
      </c>
      <c r="G129" s="72">
        <f t="shared" ca="1" si="4"/>
        <v>8.65398728851067E-2</v>
      </c>
      <c r="H129">
        <f t="shared" ca="1" si="5"/>
        <v>4208.9240979918823</v>
      </c>
    </row>
    <row r="130" spans="5:8" x14ac:dyDescent="0.2">
      <c r="E130" s="2">
        <f ca="1"/>
        <v>0.49833052606130779</v>
      </c>
      <c r="F130" s="2">
        <f t="shared" ca="1" si="3"/>
        <v>-4.1847627925481988E-3</v>
      </c>
      <c r="G130" s="72">
        <f t="shared" ca="1" si="4"/>
        <v>-1.0461906981370497E-3</v>
      </c>
      <c r="H130">
        <f t="shared" ca="1" si="5"/>
        <v>3855.963815582626</v>
      </c>
    </row>
    <row r="131" spans="5:8" x14ac:dyDescent="0.2">
      <c r="E131" s="2">
        <f ca="1"/>
        <v>0.280581539522891</v>
      </c>
      <c r="F131" s="2">
        <f t="shared" ca="1" si="3"/>
        <v>-0.58111480815398509</v>
      </c>
      <c r="G131" s="72">
        <f t="shared" ca="1" si="4"/>
        <v>-0.14527870203849627</v>
      </c>
      <c r="H131">
        <f t="shared" ca="1" si="5"/>
        <v>3338.0555988539577</v>
      </c>
    </row>
    <row r="132" spans="5:8" x14ac:dyDescent="0.2">
      <c r="E132" s="2">
        <f ca="1"/>
        <v>1.4247598347393753E-2</v>
      </c>
      <c r="F132" s="2">
        <f t="shared" ca="1" si="3"/>
        <v>-2.1904005980477543</v>
      </c>
      <c r="G132" s="72">
        <f t="shared" ca="1" si="4"/>
        <v>-0.54760014951193858</v>
      </c>
      <c r="H132">
        <f t="shared" ca="1" si="5"/>
        <v>2232.3772163147742</v>
      </c>
    </row>
    <row r="133" spans="5:8" x14ac:dyDescent="0.2">
      <c r="E133" s="2">
        <f ca="1"/>
        <v>0.97176871736368575</v>
      </c>
      <c r="F133" s="2">
        <f t="shared" ca="1" si="3"/>
        <v>1.9074482581556869</v>
      </c>
      <c r="G133" s="72">
        <f t="shared" ca="1" si="4"/>
        <v>0.47686206453892171</v>
      </c>
      <c r="H133">
        <f t="shared" ca="1" si="5"/>
        <v>6218.503282771906</v>
      </c>
    </row>
    <row r="134" spans="5:8" x14ac:dyDescent="0.2">
      <c r="E134" s="2">
        <f ca="1"/>
        <v>0.40953354098469852</v>
      </c>
      <c r="F134" s="2">
        <f t="shared" ca="1" si="3"/>
        <v>-0.22874504502869003</v>
      </c>
      <c r="G134" s="72">
        <f t="shared" ca="1" si="4"/>
        <v>-5.7186261257172508E-2</v>
      </c>
      <c r="H134">
        <f t="shared" ca="1" si="5"/>
        <v>3645.4540376624996</v>
      </c>
    </row>
    <row r="135" spans="5:8" x14ac:dyDescent="0.2">
      <c r="E135" s="2">
        <f ca="1"/>
        <v>0.99631145965588241</v>
      </c>
      <c r="F135" s="2">
        <f t="shared" ca="1" si="3"/>
        <v>2.6793247562651938</v>
      </c>
      <c r="G135" s="72">
        <f t="shared" ca="1" si="4"/>
        <v>0.66983118906629846</v>
      </c>
      <c r="H135">
        <f t="shared" ca="1" si="5"/>
        <v>7542.082764151347</v>
      </c>
    </row>
    <row r="136" spans="5:8" x14ac:dyDescent="0.2">
      <c r="E136" s="2">
        <f ca="1"/>
        <v>0.99993501865084222</v>
      </c>
      <c r="F136" s="2">
        <f t="shared" ca="1" si="3"/>
        <v>3.8265292778315514</v>
      </c>
      <c r="G136" s="72">
        <f t="shared" ca="1" si="4"/>
        <v>0.95663231945788785</v>
      </c>
      <c r="H136">
        <f t="shared" ca="1" si="5"/>
        <v>10047.255402552071</v>
      </c>
    </row>
    <row r="137" spans="5:8" x14ac:dyDescent="0.2">
      <c r="E137" s="2">
        <f ca="1"/>
        <v>9.4935709895929588E-2</v>
      </c>
      <c r="F137" s="2">
        <f t="shared" ca="1" si="3"/>
        <v>-1.310959580286607</v>
      </c>
      <c r="G137" s="72">
        <f t="shared" ca="1" si="4"/>
        <v>-0.32773989507165174</v>
      </c>
      <c r="H137">
        <f t="shared" ca="1" si="5"/>
        <v>2781.3245982212884</v>
      </c>
    </row>
    <row r="138" spans="5:8" x14ac:dyDescent="0.2">
      <c r="E138" s="2">
        <f ca="1"/>
        <v>0.94732640147184322</v>
      </c>
      <c r="F138" s="2">
        <f t="shared" ca="1" si="3"/>
        <v>1.6194652519275297</v>
      </c>
      <c r="G138" s="72">
        <f t="shared" ca="1" si="4"/>
        <v>0.40486631298188241</v>
      </c>
      <c r="H138">
        <f t="shared" ca="1" si="5"/>
        <v>5786.5340140301432</v>
      </c>
    </row>
    <row r="139" spans="5:8" x14ac:dyDescent="0.2">
      <c r="E139" s="2">
        <f ca="1"/>
        <v>0.6805425103950058</v>
      </c>
      <c r="F139" s="2">
        <f t="shared" ca="1" si="3"/>
        <v>0.46921637891898516</v>
      </c>
      <c r="G139" s="72">
        <f t="shared" ca="1" si="4"/>
        <v>0.11730409472974629</v>
      </c>
      <c r="H139">
        <f t="shared" ca="1" si="5"/>
        <v>4340.4206969974784</v>
      </c>
    </row>
    <row r="140" spans="5:8" x14ac:dyDescent="0.2">
      <c r="E140" s="2">
        <f ca="1"/>
        <v>6.8535406559239842E-2</v>
      </c>
      <c r="F140" s="2">
        <f t="shared" ca="1" si="3"/>
        <v>-1.4867879952462004</v>
      </c>
      <c r="G140" s="72">
        <f t="shared" ca="1" si="4"/>
        <v>-0.37169699881155011</v>
      </c>
      <c r="H140">
        <f t="shared" ca="1" si="5"/>
        <v>2661.7137564017439</v>
      </c>
    </row>
    <row r="141" spans="5:8" x14ac:dyDescent="0.2">
      <c r="E141" s="2">
        <f ca="1"/>
        <v>8.1803235264476859E-2</v>
      </c>
      <c r="F141" s="2">
        <f t="shared" ca="1" si="3"/>
        <v>-1.3930440499669492</v>
      </c>
      <c r="G141" s="72">
        <f t="shared" ca="1" si="4"/>
        <v>-0.3482610124917373</v>
      </c>
      <c r="H141">
        <f t="shared" ca="1" si="5"/>
        <v>2724.8303546010634</v>
      </c>
    </row>
    <row r="142" spans="5:8" x14ac:dyDescent="0.2">
      <c r="E142" s="2">
        <f ca="1"/>
        <v>0.96029644633144828</v>
      </c>
      <c r="F142" s="2">
        <f t="shared" ca="1" si="3"/>
        <v>1.7541365781510689</v>
      </c>
      <c r="G142" s="72">
        <f t="shared" ca="1" si="4"/>
        <v>0.43853414453776723</v>
      </c>
      <c r="H142">
        <f t="shared" ca="1" si="5"/>
        <v>5984.6707682481192</v>
      </c>
    </row>
    <row r="143" spans="5:8" x14ac:dyDescent="0.2">
      <c r="E143" s="2">
        <f ca="1"/>
        <v>0.46726883265287977</v>
      </c>
      <c r="F143" s="2">
        <f t="shared" ca="1" si="3"/>
        <v>-8.2137132624420378E-2</v>
      </c>
      <c r="G143" s="72">
        <f t="shared" ca="1" si="4"/>
        <v>-2.0534283156105095E-2</v>
      </c>
      <c r="H143">
        <f t="shared" ca="1" si="5"/>
        <v>3781.545922840131</v>
      </c>
    </row>
    <row r="144" spans="5:8" x14ac:dyDescent="0.2">
      <c r="E144" s="2">
        <f ca="1"/>
        <v>0.49458259245711056</v>
      </c>
      <c r="F144" s="2">
        <f t="shared" ca="1" si="3"/>
        <v>-1.3579844292088599E-2</v>
      </c>
      <c r="G144" s="72">
        <f t="shared" ca="1" si="4"/>
        <v>-3.3949610730221497E-3</v>
      </c>
      <c r="H144">
        <f t="shared" ca="1" si="5"/>
        <v>3846.9176698242945</v>
      </c>
    </row>
    <row r="145" spans="5:8" x14ac:dyDescent="0.2">
      <c r="E145" s="2">
        <f ca="1"/>
        <v>6.5809944714269486E-2</v>
      </c>
      <c r="F145" s="2">
        <f t="shared" ca="1" si="3"/>
        <v>-1.5077446645454797</v>
      </c>
      <c r="G145" s="72">
        <f t="shared" ca="1" si="4"/>
        <v>-0.37693616613636993</v>
      </c>
      <c r="H145">
        <f t="shared" ca="1" si="5"/>
        <v>2647.8050594712499</v>
      </c>
    </row>
    <row r="146" spans="5:8" x14ac:dyDescent="0.2">
      <c r="E146" s="2">
        <f ca="1"/>
        <v>0.17858393355758562</v>
      </c>
      <c r="F146" s="2">
        <f t="shared" ca="1" si="3"/>
        <v>-0.92077508183287493</v>
      </c>
      <c r="G146" s="72">
        <f t="shared" ca="1" si="4"/>
        <v>-0.23019377045821873</v>
      </c>
      <c r="H146">
        <f t="shared" ca="1" si="5"/>
        <v>3066.3054886743007</v>
      </c>
    </row>
    <row r="147" spans="5:8" x14ac:dyDescent="0.2">
      <c r="E147" s="2">
        <f ca="1"/>
        <v>0.4034212150217058</v>
      </c>
      <c r="F147" s="2">
        <f t="shared" ref="F147:F210" ca="1" si="6">_xlfn.NORM.S.INV(E147)</f>
        <v>-0.2445015133592475</v>
      </c>
      <c r="G147" s="72">
        <f t="shared" ref="G147:G210" ca="1" si="7">$G$12+$G$13*F147</f>
        <v>-6.1125378339811874E-2</v>
      </c>
      <c r="H147">
        <f t="shared" ref="H147:H210" ca="1" si="8">$G$11*EXP(G147)</f>
        <v>3631.122412894294</v>
      </c>
    </row>
    <row r="148" spans="5:8" x14ac:dyDescent="0.2">
      <c r="E148" s="2">
        <f ca="1"/>
        <v>0.63092084592145681</v>
      </c>
      <c r="F148" s="2">
        <f t="shared" ca="1" si="6"/>
        <v>0.33429321728715683</v>
      </c>
      <c r="G148" s="72">
        <f t="shared" ca="1" si="7"/>
        <v>8.3573304321789207E-2</v>
      </c>
      <c r="H148">
        <f t="shared" ca="1" si="8"/>
        <v>4196.4565381563507</v>
      </c>
    </row>
    <row r="149" spans="5:8" x14ac:dyDescent="0.2">
      <c r="E149" s="2">
        <f ca="1"/>
        <v>0.99527746240214388</v>
      </c>
      <c r="F149" s="2">
        <f t="shared" ca="1" si="6"/>
        <v>2.5955096452225499</v>
      </c>
      <c r="G149" s="72">
        <f t="shared" ca="1" si="7"/>
        <v>0.64887741130563747</v>
      </c>
      <c r="H149">
        <f t="shared" ca="1" si="8"/>
        <v>7385.691850336214</v>
      </c>
    </row>
    <row r="150" spans="5:8" x14ac:dyDescent="0.2">
      <c r="E150" s="2">
        <f ca="1"/>
        <v>0.45512509140433144</v>
      </c>
      <c r="F150" s="2">
        <f t="shared" ca="1" si="6"/>
        <v>-0.112722978928933</v>
      </c>
      <c r="G150" s="72">
        <f t="shared" ca="1" si="7"/>
        <v>-2.818074473223325E-2</v>
      </c>
      <c r="H150">
        <f t="shared" ca="1" si="8"/>
        <v>3752.7407464292628</v>
      </c>
    </row>
    <row r="151" spans="5:8" x14ac:dyDescent="0.2">
      <c r="E151" s="2">
        <f ca="1"/>
        <v>0.63522260042228096</v>
      </c>
      <c r="F151" s="2">
        <f t="shared" ca="1" si="6"/>
        <v>0.34571780877620323</v>
      </c>
      <c r="G151" s="72">
        <f t="shared" ca="1" si="7"/>
        <v>8.6429452194050807E-2</v>
      </c>
      <c r="H151">
        <f t="shared" ca="1" si="8"/>
        <v>4208.459371342572</v>
      </c>
    </row>
    <row r="152" spans="5:8" x14ac:dyDescent="0.2">
      <c r="E152" s="2">
        <f ca="1"/>
        <v>0.86243840745106026</v>
      </c>
      <c r="F152" s="2">
        <f t="shared" ca="1" si="6"/>
        <v>1.0913402681633135</v>
      </c>
      <c r="G152" s="72">
        <f t="shared" ca="1" si="7"/>
        <v>0.27283506704082838</v>
      </c>
      <c r="H152">
        <f t="shared" ca="1" si="8"/>
        <v>5070.8185309435339</v>
      </c>
    </row>
    <row r="153" spans="5:8" x14ac:dyDescent="0.2">
      <c r="E153" s="2">
        <f ca="1"/>
        <v>1.0461690234717658E-2</v>
      </c>
      <c r="F153" s="2">
        <f t="shared" ca="1" si="6"/>
        <v>-2.3093641890798038</v>
      </c>
      <c r="G153" s="72">
        <f t="shared" ca="1" si="7"/>
        <v>-0.57734104726995095</v>
      </c>
      <c r="H153">
        <f t="shared" ca="1" si="8"/>
        <v>2166.9618907202139</v>
      </c>
    </row>
    <row r="154" spans="5:8" x14ac:dyDescent="0.2">
      <c r="E154" s="2">
        <f ca="1"/>
        <v>0.40728805598826034</v>
      </c>
      <c r="F154" s="2">
        <f t="shared" ca="1" si="6"/>
        <v>-0.23452669423180156</v>
      </c>
      <c r="G154" s="72">
        <f t="shared" ca="1" si="7"/>
        <v>-5.8631673557950389E-2</v>
      </c>
      <c r="H154">
        <f t="shared" ca="1" si="8"/>
        <v>3640.1886597922221</v>
      </c>
    </row>
    <row r="155" spans="5:8" x14ac:dyDescent="0.2">
      <c r="E155" s="2">
        <f ca="1"/>
        <v>0.41266455016911729</v>
      </c>
      <c r="F155" s="2">
        <f t="shared" ca="1" si="6"/>
        <v>-0.2206960589119456</v>
      </c>
      <c r="G155" s="72">
        <f t="shared" ca="1" si="7"/>
        <v>-5.5174014727986401E-2</v>
      </c>
      <c r="H155">
        <f t="shared" ca="1" si="8"/>
        <v>3652.7969753197881</v>
      </c>
    </row>
    <row r="156" spans="5:8" x14ac:dyDescent="0.2">
      <c r="E156" s="2">
        <f ca="1"/>
        <v>0.99987283578514385</v>
      </c>
      <c r="F156" s="2">
        <f t="shared" ca="1" si="6"/>
        <v>3.6578614770318709</v>
      </c>
      <c r="G156" s="72">
        <f t="shared" ca="1" si="7"/>
        <v>0.91446536925796773</v>
      </c>
      <c r="H156">
        <f t="shared" ca="1" si="8"/>
        <v>9632.4013176287299</v>
      </c>
    </row>
    <row r="157" spans="5:8" x14ac:dyDescent="0.2">
      <c r="E157" s="2">
        <f ca="1"/>
        <v>0.79078336377932446</v>
      </c>
      <c r="F157" s="2">
        <f t="shared" ca="1" si="6"/>
        <v>0.80914234715946409</v>
      </c>
      <c r="G157" s="72">
        <f t="shared" ca="1" si="7"/>
        <v>0.20228558678986602</v>
      </c>
      <c r="H157">
        <f t="shared" ca="1" si="8"/>
        <v>4725.4026311949719</v>
      </c>
    </row>
    <row r="158" spans="5:8" x14ac:dyDescent="0.2">
      <c r="E158" s="2">
        <f ca="1"/>
        <v>0.26680350924456575</v>
      </c>
      <c r="F158" s="2">
        <f t="shared" ca="1" si="6"/>
        <v>-0.62250931823203426</v>
      </c>
      <c r="G158" s="72">
        <f t="shared" ca="1" si="7"/>
        <v>-0.15562732955800856</v>
      </c>
      <c r="H158">
        <f t="shared" ca="1" si="8"/>
        <v>3303.6894328481926</v>
      </c>
    </row>
    <row r="159" spans="5:8" x14ac:dyDescent="0.2">
      <c r="E159" s="2">
        <f ca="1"/>
        <v>0.54189284054400355</v>
      </c>
      <c r="F159" s="2">
        <f t="shared" ca="1" si="6"/>
        <v>0.10520351843292426</v>
      </c>
      <c r="G159" s="72">
        <f t="shared" ca="1" si="7"/>
        <v>2.6300879608231065E-2</v>
      </c>
      <c r="H159">
        <f t="shared" ca="1" si="8"/>
        <v>3962.8682279890495</v>
      </c>
    </row>
    <row r="160" spans="5:8" x14ac:dyDescent="0.2">
      <c r="E160" s="2">
        <f ca="1"/>
        <v>0.51872661239203066</v>
      </c>
      <c r="F160" s="2">
        <f t="shared" ca="1" si="6"/>
        <v>4.6957907787529306E-2</v>
      </c>
      <c r="G160" s="72">
        <f t="shared" ca="1" si="7"/>
        <v>1.1739476946882326E-2</v>
      </c>
      <c r="H160">
        <f t="shared" ca="1" si="8"/>
        <v>3905.5814084784924</v>
      </c>
    </row>
    <row r="161" spans="5:8" x14ac:dyDescent="0.2">
      <c r="E161" s="2">
        <f ca="1"/>
        <v>0.65510220627947846</v>
      </c>
      <c r="F161" s="2">
        <f t="shared" ca="1" si="6"/>
        <v>0.3991324848288938</v>
      </c>
      <c r="G161" s="72">
        <f t="shared" ca="1" si="7"/>
        <v>9.9783121207223449E-2</v>
      </c>
      <c r="H161">
        <f t="shared" ca="1" si="8"/>
        <v>4265.0346478932015</v>
      </c>
    </row>
    <row r="162" spans="5:8" x14ac:dyDescent="0.2">
      <c r="E162" s="2">
        <f ca="1"/>
        <v>0.46189420177413631</v>
      </c>
      <c r="F162" s="2">
        <f t="shared" ca="1" si="6"/>
        <v>-9.5662778726780612E-2</v>
      </c>
      <c r="G162" s="72">
        <f t="shared" ca="1" si="7"/>
        <v>-2.3915694681695153E-2</v>
      </c>
      <c r="H162">
        <f t="shared" ca="1" si="8"/>
        <v>3768.7805545170854</v>
      </c>
    </row>
    <row r="163" spans="5:8" x14ac:dyDescent="0.2">
      <c r="E163" s="2">
        <f ca="1"/>
        <v>0.24237297583807194</v>
      </c>
      <c r="F163" s="2">
        <f t="shared" ca="1" si="6"/>
        <v>-0.69868973292590075</v>
      </c>
      <c r="G163" s="72">
        <f t="shared" ca="1" si="7"/>
        <v>-0.17467243323147519</v>
      </c>
      <c r="H163">
        <f t="shared" ca="1" si="8"/>
        <v>3241.3656899735493</v>
      </c>
    </row>
    <row r="164" spans="5:8" x14ac:dyDescent="0.2">
      <c r="E164" s="2">
        <f ca="1"/>
        <v>0.77922269630008101</v>
      </c>
      <c r="F164" s="2">
        <f t="shared" ca="1" si="6"/>
        <v>0.76957067241022725</v>
      </c>
      <c r="G164" s="72">
        <f t="shared" ca="1" si="7"/>
        <v>0.19239266810255681</v>
      </c>
      <c r="H164">
        <f t="shared" ca="1" si="8"/>
        <v>4678.8850837451155</v>
      </c>
    </row>
    <row r="165" spans="5:8" x14ac:dyDescent="0.2">
      <c r="E165" s="2">
        <f ca="1"/>
        <v>0.11111142066996305</v>
      </c>
      <c r="F165" s="2">
        <f t="shared" ca="1" si="6"/>
        <v>-1.2206387143882682</v>
      </c>
      <c r="G165" s="72">
        <f t="shared" ca="1" si="7"/>
        <v>-0.30515967859706705</v>
      </c>
      <c r="H165">
        <f t="shared" ca="1" si="8"/>
        <v>2844.8419285139007</v>
      </c>
    </row>
    <row r="166" spans="5:8" x14ac:dyDescent="0.2">
      <c r="E166" s="2">
        <f ca="1"/>
        <v>4.8597207609121451E-2</v>
      </c>
      <c r="F166" s="2">
        <f t="shared" ca="1" si="6"/>
        <v>-1.658609951332183</v>
      </c>
      <c r="G166" s="72">
        <f t="shared" ca="1" si="7"/>
        <v>-0.41465248783304576</v>
      </c>
      <c r="H166">
        <f t="shared" ca="1" si="8"/>
        <v>2549.7994158964952</v>
      </c>
    </row>
    <row r="167" spans="5:8" x14ac:dyDescent="0.2">
      <c r="E167" s="2">
        <f ca="1"/>
        <v>9.289080736519284E-2</v>
      </c>
      <c r="F167" s="2">
        <f t="shared" ca="1" si="6"/>
        <v>-1.3231616850301757</v>
      </c>
      <c r="G167" s="72">
        <f t="shared" ca="1" si="7"/>
        <v>-0.33079042125754393</v>
      </c>
      <c r="H167">
        <f t="shared" ca="1" si="8"/>
        <v>2772.8530226540011</v>
      </c>
    </row>
    <row r="168" spans="5:8" x14ac:dyDescent="0.2">
      <c r="E168" s="2">
        <f ca="1"/>
        <v>0.93493768890310425</v>
      </c>
      <c r="F168" s="2">
        <f t="shared" ca="1" si="6"/>
        <v>1.5136106350268259</v>
      </c>
      <c r="G168" s="72">
        <f t="shared" ca="1" si="7"/>
        <v>0.37840265875670648</v>
      </c>
      <c r="H168">
        <f t="shared" ca="1" si="8"/>
        <v>5635.4096497590263</v>
      </c>
    </row>
    <row r="169" spans="5:8" x14ac:dyDescent="0.2">
      <c r="E169" s="2">
        <f ca="1"/>
        <v>0.63554193350529631</v>
      </c>
      <c r="F169" s="2">
        <f t="shared" ca="1" si="6"/>
        <v>0.34656767645405628</v>
      </c>
      <c r="G169" s="72">
        <f t="shared" ca="1" si="7"/>
        <v>8.6641919113514071E-2</v>
      </c>
      <c r="H169">
        <f t="shared" ca="1" si="8"/>
        <v>4209.3536247371549</v>
      </c>
    </row>
    <row r="170" spans="5:8" x14ac:dyDescent="0.2">
      <c r="E170" s="2">
        <f ca="1"/>
        <v>0.61646898043931797</v>
      </c>
      <c r="F170" s="2">
        <f t="shared" ca="1" si="6"/>
        <v>0.29622004839762495</v>
      </c>
      <c r="G170" s="72">
        <f t="shared" ca="1" si="7"/>
        <v>7.4055012099406237E-2</v>
      </c>
      <c r="H170">
        <f t="shared" ca="1" si="8"/>
        <v>4156.7029318806353</v>
      </c>
    </row>
    <row r="171" spans="5:8" x14ac:dyDescent="0.2">
      <c r="E171" s="2">
        <f ca="1"/>
        <v>0.14573318860282836</v>
      </c>
      <c r="F171" s="2">
        <f t="shared" ca="1" si="6"/>
        <v>-1.054910242887612</v>
      </c>
      <c r="G171" s="72">
        <f t="shared" ca="1" si="7"/>
        <v>-0.26372756072190301</v>
      </c>
      <c r="H171">
        <f t="shared" ca="1" si="8"/>
        <v>2965.1855860626465</v>
      </c>
    </row>
    <row r="172" spans="5:8" x14ac:dyDescent="0.2">
      <c r="E172" s="2">
        <f ca="1"/>
        <v>0.59905995615213681</v>
      </c>
      <c r="F172" s="2">
        <f t="shared" ca="1" si="6"/>
        <v>0.25091466282394814</v>
      </c>
      <c r="G172" s="72">
        <f t="shared" ca="1" si="7"/>
        <v>6.2728665705987036E-2</v>
      </c>
      <c r="H172">
        <f t="shared" ca="1" si="8"/>
        <v>4109.8882944905845</v>
      </c>
    </row>
    <row r="173" spans="5:8" x14ac:dyDescent="0.2">
      <c r="E173" s="2">
        <f ca="1"/>
        <v>0.84825947921389</v>
      </c>
      <c r="F173" s="2">
        <f t="shared" ca="1" si="6"/>
        <v>1.0289970915649165</v>
      </c>
      <c r="G173" s="72">
        <f t="shared" ca="1" si="7"/>
        <v>0.25724927289122912</v>
      </c>
      <c r="H173">
        <f t="shared" ca="1" si="8"/>
        <v>4992.398503806935</v>
      </c>
    </row>
    <row r="174" spans="5:8" x14ac:dyDescent="0.2">
      <c r="E174" s="2">
        <f ca="1"/>
        <v>0.28068443037107627</v>
      </c>
      <c r="F174" s="2">
        <f t="shared" ca="1" si="6"/>
        <v>-0.58080948652444697</v>
      </c>
      <c r="G174" s="72">
        <f t="shared" ca="1" si="7"/>
        <v>-0.14520237163111174</v>
      </c>
      <c r="H174">
        <f t="shared" ca="1" si="8"/>
        <v>3338.3104037222465</v>
      </c>
    </row>
    <row r="175" spans="5:8" x14ac:dyDescent="0.2">
      <c r="E175" s="2">
        <f ca="1"/>
        <v>0.94034365755293914</v>
      </c>
      <c r="F175" s="2">
        <f t="shared" ca="1" si="6"/>
        <v>1.5576649855188431</v>
      </c>
      <c r="G175" s="72">
        <f t="shared" ca="1" si="7"/>
        <v>0.38941624637971078</v>
      </c>
      <c r="H175">
        <f t="shared" ca="1" si="8"/>
        <v>5697.8187710447401</v>
      </c>
    </row>
    <row r="176" spans="5:8" x14ac:dyDescent="0.2">
      <c r="E176" s="2">
        <f ca="1"/>
        <v>0.61900221519895182</v>
      </c>
      <c r="F176" s="2">
        <f t="shared" ca="1" si="6"/>
        <v>0.3028612941562282</v>
      </c>
      <c r="G176" s="72">
        <f t="shared" ca="1" si="7"/>
        <v>7.571532353905705E-2</v>
      </c>
      <c r="H176">
        <f t="shared" ca="1" si="8"/>
        <v>4163.6100857362399</v>
      </c>
    </row>
    <row r="177" spans="5:8" x14ac:dyDescent="0.2">
      <c r="E177" s="2">
        <f ca="1"/>
        <v>0.43684954505165319</v>
      </c>
      <c r="F177" s="2">
        <f t="shared" ca="1" si="6"/>
        <v>-0.1589616478958823</v>
      </c>
      <c r="G177" s="72">
        <f t="shared" ca="1" si="7"/>
        <v>-3.9740411973970574E-2</v>
      </c>
      <c r="H177">
        <f t="shared" ca="1" si="8"/>
        <v>3709.6100805091328</v>
      </c>
    </row>
    <row r="178" spans="5:8" x14ac:dyDescent="0.2">
      <c r="E178" s="2">
        <f ca="1"/>
        <v>0.18640014622183476</v>
      </c>
      <c r="F178" s="2">
        <f t="shared" ca="1" si="6"/>
        <v>-0.89124025563188625</v>
      </c>
      <c r="G178" s="72">
        <f t="shared" ca="1" si="7"/>
        <v>-0.22281006390797156</v>
      </c>
      <c r="H178">
        <f t="shared" ca="1" si="8"/>
        <v>3089.029980843738</v>
      </c>
    </row>
    <row r="179" spans="5:8" x14ac:dyDescent="0.2">
      <c r="E179" s="2">
        <f ca="1"/>
        <v>0.78480826166063244</v>
      </c>
      <c r="F179" s="2">
        <f t="shared" ca="1" si="6"/>
        <v>0.78853561179279785</v>
      </c>
      <c r="G179" s="72">
        <f t="shared" ca="1" si="7"/>
        <v>0.19713390294819946</v>
      </c>
      <c r="H179">
        <f t="shared" ca="1" si="8"/>
        <v>4701.1214490030006</v>
      </c>
    </row>
    <row r="180" spans="5:8" x14ac:dyDescent="0.2">
      <c r="E180" s="2">
        <f ca="1"/>
        <v>0.19480060453731074</v>
      </c>
      <c r="F180" s="2">
        <f t="shared" ca="1" si="6"/>
        <v>-0.86034079920635531</v>
      </c>
      <c r="G180" s="72">
        <f t="shared" ca="1" si="7"/>
        <v>-0.21508519980158883</v>
      </c>
      <c r="H180">
        <f t="shared" ca="1" si="8"/>
        <v>3112.9847221049008</v>
      </c>
    </row>
    <row r="181" spans="5:8" x14ac:dyDescent="0.2">
      <c r="E181" s="2">
        <f ca="1"/>
        <v>2.7657815974373667E-2</v>
      </c>
      <c r="F181" s="2">
        <f t="shared" ca="1" si="6"/>
        <v>-1.9163887481390105</v>
      </c>
      <c r="G181" s="72">
        <f t="shared" ca="1" si="7"/>
        <v>-0.47909718703475263</v>
      </c>
      <c r="H181">
        <f t="shared" ca="1" si="8"/>
        <v>2390.6612383467063</v>
      </c>
    </row>
    <row r="182" spans="5:8" x14ac:dyDescent="0.2">
      <c r="E182" s="2">
        <f ca="1"/>
        <v>0.68316125440895981</v>
      </c>
      <c r="F182" s="2">
        <f t="shared" ca="1" si="6"/>
        <v>0.47655716582652047</v>
      </c>
      <c r="G182" s="72">
        <f t="shared" ca="1" si="7"/>
        <v>0.11913929145663012</v>
      </c>
      <c r="H182">
        <f t="shared" ca="1" si="8"/>
        <v>4348.393536480693</v>
      </c>
    </row>
    <row r="183" spans="5:8" x14ac:dyDescent="0.2">
      <c r="E183" s="2">
        <f ca="1"/>
        <v>0.83494210760394916</v>
      </c>
      <c r="F183" s="2">
        <f t="shared" ca="1" si="6"/>
        <v>0.97388068557612872</v>
      </c>
      <c r="G183" s="72">
        <f t="shared" ca="1" si="7"/>
        <v>0.24347017139403218</v>
      </c>
      <c r="H183">
        <f t="shared" ca="1" si="8"/>
        <v>4924.0795062470061</v>
      </c>
    </row>
    <row r="184" spans="5:8" x14ac:dyDescent="0.2">
      <c r="E184" s="2">
        <f ca="1"/>
        <v>0.32209633347089039</v>
      </c>
      <c r="F184" s="2">
        <f t="shared" ca="1" si="6"/>
        <v>-0.46184473638876572</v>
      </c>
      <c r="G184" s="72">
        <f t="shared" ca="1" si="7"/>
        <v>-0.11546118409719143</v>
      </c>
      <c r="H184">
        <f t="shared" ca="1" si="8"/>
        <v>3439.0868975071271</v>
      </c>
    </row>
    <row r="185" spans="5:8" x14ac:dyDescent="0.2">
      <c r="E185" s="2">
        <f ca="1"/>
        <v>0.63457319150892721</v>
      </c>
      <c r="F185" s="2">
        <f t="shared" ca="1" si="6"/>
        <v>0.3439902520728963</v>
      </c>
      <c r="G185" s="72">
        <f t="shared" ca="1" si="7"/>
        <v>8.5997563018224074E-2</v>
      </c>
      <c r="H185">
        <f t="shared" ca="1" si="8"/>
        <v>4206.6421757349854</v>
      </c>
    </row>
    <row r="186" spans="5:8" x14ac:dyDescent="0.2">
      <c r="E186" s="2">
        <f ca="1"/>
        <v>0.7350350593528967</v>
      </c>
      <c r="F186" s="2">
        <f t="shared" ca="1" si="6"/>
        <v>0.62811305526703332</v>
      </c>
      <c r="G186" s="72">
        <f t="shared" ca="1" si="7"/>
        <v>0.15702826381675833</v>
      </c>
      <c r="H186">
        <f t="shared" ca="1" si="8"/>
        <v>4516.3107160321324</v>
      </c>
    </row>
    <row r="187" spans="5:8" x14ac:dyDescent="0.2">
      <c r="E187" s="2">
        <f ca="1"/>
        <v>0.35972414399035246</v>
      </c>
      <c r="F187" s="2">
        <f t="shared" ca="1" si="6"/>
        <v>-0.35919624168978864</v>
      </c>
      <c r="G187" s="72">
        <f t="shared" ca="1" si="7"/>
        <v>-8.9799060422447161E-2</v>
      </c>
      <c r="H187">
        <f t="shared" ca="1" si="8"/>
        <v>3528.4833158643232</v>
      </c>
    </row>
    <row r="188" spans="5:8" x14ac:dyDescent="0.2">
      <c r="E188" s="2">
        <f ca="1"/>
        <v>0.73575432080676406</v>
      </c>
      <c r="F188" s="2">
        <f t="shared" ca="1" si="6"/>
        <v>0.63031064696851169</v>
      </c>
      <c r="G188" s="72">
        <f t="shared" ca="1" si="7"/>
        <v>0.15757766174212792</v>
      </c>
      <c r="H188">
        <f t="shared" ca="1" si="8"/>
        <v>4518.7926494919629</v>
      </c>
    </row>
    <row r="189" spans="5:8" x14ac:dyDescent="0.2">
      <c r="E189" s="2">
        <f ca="1"/>
        <v>0.81641020361346572</v>
      </c>
      <c r="F189" s="2">
        <f t="shared" ca="1" si="6"/>
        <v>0.90176899587500425</v>
      </c>
      <c r="G189" s="72">
        <f t="shared" ca="1" si="7"/>
        <v>0.22544224896875106</v>
      </c>
      <c r="H189">
        <f t="shared" ca="1" si="8"/>
        <v>4836.1039736327757</v>
      </c>
    </row>
    <row r="190" spans="5:8" x14ac:dyDescent="0.2">
      <c r="E190" s="2">
        <f ca="1"/>
        <v>0.23717392046938235</v>
      </c>
      <c r="F190" s="2">
        <f t="shared" ca="1" si="6"/>
        <v>-0.71542277933734622</v>
      </c>
      <c r="G190" s="72">
        <f t="shared" ca="1" si="7"/>
        <v>-0.17885569483433655</v>
      </c>
      <c r="H190">
        <f t="shared" ca="1" si="8"/>
        <v>3227.8345312627594</v>
      </c>
    </row>
    <row r="191" spans="5:8" x14ac:dyDescent="0.2">
      <c r="E191" s="2">
        <f ca="1"/>
        <v>0.61870020378313617</v>
      </c>
      <c r="F191" s="2">
        <f t="shared" ca="1" si="6"/>
        <v>0.30206883106554056</v>
      </c>
      <c r="G191" s="72">
        <f t="shared" ca="1" si="7"/>
        <v>7.5517207766385139E-2</v>
      </c>
      <c r="H191">
        <f t="shared" ca="1" si="8"/>
        <v>4162.7852906121589</v>
      </c>
    </row>
    <row r="192" spans="5:8" x14ac:dyDescent="0.2">
      <c r="E192" s="2">
        <f ca="1"/>
        <v>0.36133614601098119</v>
      </c>
      <c r="F192" s="2">
        <f t="shared" ca="1" si="6"/>
        <v>-0.35488961067811925</v>
      </c>
      <c r="G192" s="72">
        <f t="shared" ca="1" si="7"/>
        <v>-8.8722402669529812E-2</v>
      </c>
      <c r="H192">
        <f t="shared" ca="1" si="8"/>
        <v>3532.2843306112109</v>
      </c>
    </row>
    <row r="193" spans="5:8" x14ac:dyDescent="0.2">
      <c r="E193" s="2">
        <f ca="1"/>
        <v>0.28586689507779006</v>
      </c>
      <c r="F193" s="2">
        <f t="shared" ca="1" si="6"/>
        <v>-0.56549990312487619</v>
      </c>
      <c r="G193" s="72">
        <f t="shared" ca="1" si="7"/>
        <v>-0.14137497578121905</v>
      </c>
      <c r="H193">
        <f t="shared" ca="1" si="8"/>
        <v>3351.1119217181263</v>
      </c>
    </row>
    <row r="194" spans="5:8" x14ac:dyDescent="0.2">
      <c r="E194" s="2">
        <f ca="1"/>
        <v>0.1473983054631991</v>
      </c>
      <c r="F194" s="2">
        <f t="shared" ca="1" si="6"/>
        <v>-1.047657118698041</v>
      </c>
      <c r="G194" s="72">
        <f t="shared" ca="1" si="7"/>
        <v>-0.26191427967451025</v>
      </c>
      <c r="H194">
        <f t="shared" ca="1" si="8"/>
        <v>2970.5671785831664</v>
      </c>
    </row>
    <row r="195" spans="5:8" x14ac:dyDescent="0.2">
      <c r="E195" s="2">
        <f ca="1"/>
        <v>0.78722698406719438</v>
      </c>
      <c r="F195" s="2">
        <f t="shared" ca="1" si="6"/>
        <v>0.79683643453499298</v>
      </c>
      <c r="G195" s="72">
        <f t="shared" ca="1" si="7"/>
        <v>0.19920910863374824</v>
      </c>
      <c r="H195">
        <f t="shared" ca="1" si="8"/>
        <v>4710.8873726077927</v>
      </c>
    </row>
    <row r="196" spans="5:8" x14ac:dyDescent="0.2">
      <c r="E196" s="2">
        <f ca="1"/>
        <v>0.24723712167443712</v>
      </c>
      <c r="F196" s="2">
        <f t="shared" ca="1" si="6"/>
        <v>-0.68320985954751201</v>
      </c>
      <c r="G196" s="72">
        <f t="shared" ca="1" si="7"/>
        <v>-0.170802464886878</v>
      </c>
      <c r="H196">
        <f t="shared" ca="1" si="8"/>
        <v>3253.9339763362914</v>
      </c>
    </row>
    <row r="197" spans="5:8" x14ac:dyDescent="0.2">
      <c r="E197" s="2">
        <f ca="1"/>
        <v>0.19095874457598971</v>
      </c>
      <c r="F197" s="2">
        <f t="shared" ca="1" si="6"/>
        <v>-0.87436871480549083</v>
      </c>
      <c r="G197" s="72">
        <f t="shared" ca="1" si="7"/>
        <v>-0.21859217870137271</v>
      </c>
      <c r="H197">
        <f t="shared" ca="1" si="8"/>
        <v>3102.0866711559943</v>
      </c>
    </row>
    <row r="198" spans="5:8" x14ac:dyDescent="0.2">
      <c r="E198" s="2">
        <f ca="1"/>
        <v>2.4078040089526409E-2</v>
      </c>
      <c r="F198" s="2">
        <f t="shared" ca="1" si="6"/>
        <v>-1.9759884957198457</v>
      </c>
      <c r="G198" s="72">
        <f t="shared" ca="1" si="7"/>
        <v>-0.49399712392996142</v>
      </c>
      <c r="H198">
        <f t="shared" ca="1" si="8"/>
        <v>2355.3045967412654</v>
      </c>
    </row>
    <row r="199" spans="5:8" x14ac:dyDescent="0.2">
      <c r="E199" s="2">
        <f ca="1"/>
        <v>0.41082655356043363</v>
      </c>
      <c r="F199" s="2">
        <f t="shared" ca="1" si="6"/>
        <v>-0.22541928924590465</v>
      </c>
      <c r="G199" s="72">
        <f t="shared" ca="1" si="7"/>
        <v>-5.6354822311476163E-2</v>
      </c>
      <c r="H199">
        <f t="shared" ca="1" si="8"/>
        <v>3648.486270507718</v>
      </c>
    </row>
    <row r="200" spans="5:8" x14ac:dyDescent="0.2">
      <c r="E200" s="2">
        <f ca="1"/>
        <v>0.64383247735967264</v>
      </c>
      <c r="F200" s="2">
        <f t="shared" ca="1" si="6"/>
        <v>0.36872187059502315</v>
      </c>
      <c r="G200" s="72">
        <f t="shared" ca="1" si="7"/>
        <v>9.2180467648755787E-2</v>
      </c>
      <c r="H200">
        <f t="shared" ca="1" si="8"/>
        <v>4232.7320155037314</v>
      </c>
    </row>
    <row r="201" spans="5:8" x14ac:dyDescent="0.2">
      <c r="E201" s="2">
        <f ca="1"/>
        <v>0.86903780656152341</v>
      </c>
      <c r="F201" s="2">
        <f t="shared" ca="1" si="6"/>
        <v>1.1218543173848137</v>
      </c>
      <c r="G201" s="72">
        <f t="shared" ca="1" si="7"/>
        <v>0.28046357934620342</v>
      </c>
      <c r="H201">
        <f t="shared" ca="1" si="8"/>
        <v>5109.6492545214223</v>
      </c>
    </row>
    <row r="202" spans="5:8" x14ac:dyDescent="0.2">
      <c r="E202" s="2">
        <f ca="1"/>
        <v>0.84420892793711522</v>
      </c>
      <c r="F202" s="2">
        <f t="shared" ca="1" si="6"/>
        <v>1.0119077902752938</v>
      </c>
      <c r="G202" s="72">
        <f t="shared" ca="1" si="7"/>
        <v>0.25297694756882344</v>
      </c>
      <c r="H202">
        <f t="shared" ca="1" si="8"/>
        <v>4971.1148509778286</v>
      </c>
    </row>
    <row r="203" spans="5:8" x14ac:dyDescent="0.2">
      <c r="E203" s="2">
        <f ca="1"/>
        <v>0.16181007678213333</v>
      </c>
      <c r="F203" s="2">
        <f t="shared" ca="1" si="6"/>
        <v>-0.9870458671149992</v>
      </c>
      <c r="G203" s="72">
        <f t="shared" ca="1" si="7"/>
        <v>-0.2467614667787498</v>
      </c>
      <c r="H203">
        <f t="shared" ca="1" si="8"/>
        <v>3015.9223889202813</v>
      </c>
    </row>
    <row r="204" spans="5:8" x14ac:dyDescent="0.2">
      <c r="E204" s="2">
        <f ca="1"/>
        <v>0.83557783945763653</v>
      </c>
      <c r="F204" s="2">
        <f t="shared" ca="1" si="6"/>
        <v>0.97644433317645174</v>
      </c>
      <c r="G204" s="72">
        <f t="shared" ca="1" si="7"/>
        <v>0.24411108329411293</v>
      </c>
      <c r="H204">
        <f t="shared" ca="1" si="8"/>
        <v>4927.2364189428972</v>
      </c>
    </row>
    <row r="205" spans="5:8" x14ac:dyDescent="0.2">
      <c r="E205" s="2">
        <f ca="1"/>
        <v>0.88105544413424219</v>
      </c>
      <c r="F205" s="2">
        <f t="shared" ca="1" si="6"/>
        <v>1.1802793919155663</v>
      </c>
      <c r="G205" s="72">
        <f t="shared" ca="1" si="7"/>
        <v>0.29506984797889158</v>
      </c>
      <c r="H205">
        <f t="shared" ca="1" si="8"/>
        <v>5184.8298817697423</v>
      </c>
    </row>
    <row r="206" spans="5:8" x14ac:dyDescent="0.2">
      <c r="E206" s="2">
        <f ca="1"/>
        <v>0.12643717961506318</v>
      </c>
      <c r="F206" s="2">
        <f t="shared" ca="1" si="6"/>
        <v>-1.1433956464468558</v>
      </c>
      <c r="G206" s="72">
        <f t="shared" ca="1" si="7"/>
        <v>-0.28584891161171394</v>
      </c>
      <c r="H206">
        <f t="shared" ca="1" si="8"/>
        <v>2900.3118678985688</v>
      </c>
    </row>
    <row r="207" spans="5:8" x14ac:dyDescent="0.2">
      <c r="E207" s="2">
        <f ca="1"/>
        <v>0.25963190582476781</v>
      </c>
      <c r="F207" s="2">
        <f t="shared" ca="1" si="6"/>
        <v>-0.64448063404988376</v>
      </c>
      <c r="G207" s="72">
        <f t="shared" ca="1" si="7"/>
        <v>-0.16112015851247094</v>
      </c>
      <c r="H207">
        <f t="shared" ca="1" si="8"/>
        <v>3285.59257883699</v>
      </c>
    </row>
    <row r="208" spans="5:8" x14ac:dyDescent="0.2">
      <c r="E208" s="2">
        <f ca="1"/>
        <v>0.43724004935275751</v>
      </c>
      <c r="F208" s="2">
        <f t="shared" ca="1" si="6"/>
        <v>-0.157970431075863</v>
      </c>
      <c r="G208" s="72">
        <f t="shared" ca="1" si="7"/>
        <v>-3.9492607768965751E-2</v>
      </c>
      <c r="H208">
        <f t="shared" ca="1" si="8"/>
        <v>3710.5294513932922</v>
      </c>
    </row>
    <row r="209" spans="5:8" x14ac:dyDescent="0.2">
      <c r="E209" s="2">
        <f ca="1"/>
        <v>6.5114655673373267E-2</v>
      </c>
      <c r="F209" s="2">
        <f t="shared" ca="1" si="6"/>
        <v>-1.5131982393166292</v>
      </c>
      <c r="G209" s="72">
        <f t="shared" ca="1" si="7"/>
        <v>-0.37829955982915731</v>
      </c>
      <c r="H209">
        <f t="shared" ca="1" si="8"/>
        <v>2644.1975185615183</v>
      </c>
    </row>
    <row r="210" spans="5:8" x14ac:dyDescent="0.2">
      <c r="E210" s="2">
        <f ca="1"/>
        <v>0.44465234613142823</v>
      </c>
      <c r="F210" s="2">
        <f t="shared" ca="1" si="6"/>
        <v>-0.13918407507386685</v>
      </c>
      <c r="G210" s="72">
        <f t="shared" ca="1" si="7"/>
        <v>-3.4796018768466712E-2</v>
      </c>
      <c r="H210">
        <f t="shared" ca="1" si="8"/>
        <v>3727.9972706760109</v>
      </c>
    </row>
    <row r="211" spans="5:8" x14ac:dyDescent="0.2">
      <c r="E211" s="2">
        <f ca="1"/>
        <v>0.98138031240482926</v>
      </c>
      <c r="F211" s="2">
        <f t="shared" ref="F211:F274" ca="1" si="9">_xlfn.NORM.S.INV(E211)</f>
        <v>2.0831300035143867</v>
      </c>
      <c r="G211" s="72">
        <f t="shared" ref="G211:G274" ca="1" si="10">$G$12+$G$13*F211</f>
        <v>0.52078250087859668</v>
      </c>
      <c r="H211">
        <f t="shared" ref="H211:H274" ca="1" si="11">$G$11*EXP(G211)</f>
        <v>6497.7092022176321</v>
      </c>
    </row>
    <row r="212" spans="5:8" x14ac:dyDescent="0.2">
      <c r="E212" s="2">
        <f ca="1"/>
        <v>0.88301398326924518</v>
      </c>
      <c r="F212" s="2">
        <f t="shared" ca="1" si="9"/>
        <v>1.1901892091592099</v>
      </c>
      <c r="G212" s="72">
        <f t="shared" ca="1" si="10"/>
        <v>0.29754730228980247</v>
      </c>
      <c r="H212">
        <f t="shared" ca="1" si="11"/>
        <v>5197.6909857321816</v>
      </c>
    </row>
    <row r="213" spans="5:8" x14ac:dyDescent="0.2">
      <c r="E213" s="2">
        <f ca="1"/>
        <v>0.60444891957164515</v>
      </c>
      <c r="F213" s="2">
        <f t="shared" ca="1" si="9"/>
        <v>0.26487966902786791</v>
      </c>
      <c r="G213" s="72">
        <f t="shared" ca="1" si="10"/>
        <v>6.6219917256966979E-2</v>
      </c>
      <c r="H213">
        <f t="shared" ca="1" si="11"/>
        <v>4124.2620249275005</v>
      </c>
    </row>
    <row r="214" spans="5:8" x14ac:dyDescent="0.2">
      <c r="E214" s="2">
        <f ca="1"/>
        <v>0.62445997124102925</v>
      </c>
      <c r="F214" s="2">
        <f t="shared" ca="1" si="9"/>
        <v>0.31721554217342313</v>
      </c>
      <c r="G214" s="72">
        <f t="shared" ca="1" si="10"/>
        <v>7.9303885543355782E-2</v>
      </c>
      <c r="H214">
        <f t="shared" ca="1" si="11"/>
        <v>4178.5782998096684</v>
      </c>
    </row>
    <row r="215" spans="5:8" x14ac:dyDescent="0.2">
      <c r="E215" s="2">
        <f ca="1"/>
        <v>0.367868522920618</v>
      </c>
      <c r="F215" s="2">
        <f t="shared" ca="1" si="9"/>
        <v>-0.33750393559117603</v>
      </c>
      <c r="G215" s="72">
        <f t="shared" ca="1" si="10"/>
        <v>-8.4375983897794007E-2</v>
      </c>
      <c r="H215">
        <f t="shared" ca="1" si="11"/>
        <v>3547.6705307452571</v>
      </c>
    </row>
    <row r="216" spans="5:8" x14ac:dyDescent="0.2">
      <c r="E216" s="2">
        <f ca="1"/>
        <v>0.93041971570092308</v>
      </c>
      <c r="F216" s="2">
        <f t="shared" ca="1" si="9"/>
        <v>1.4789242227909818</v>
      </c>
      <c r="G216" s="72">
        <f t="shared" ca="1" si="10"/>
        <v>0.36973105569774545</v>
      </c>
      <c r="H216">
        <f t="shared" ca="1" si="11"/>
        <v>5586.7528851779289</v>
      </c>
    </row>
    <row r="217" spans="5:8" x14ac:dyDescent="0.2">
      <c r="E217" s="2">
        <f ca="1"/>
        <v>0.76862748678328541</v>
      </c>
      <c r="F217" s="2">
        <f t="shared" ca="1" si="9"/>
        <v>0.73433428621781305</v>
      </c>
      <c r="G217" s="72">
        <f t="shared" ca="1" si="10"/>
        <v>0.18358357155445326</v>
      </c>
      <c r="H217">
        <f t="shared" ca="1" si="11"/>
        <v>4637.8493425726174</v>
      </c>
    </row>
    <row r="218" spans="5:8" x14ac:dyDescent="0.2">
      <c r="E218" s="2">
        <f ca="1"/>
        <v>0.65782359934686907</v>
      </c>
      <c r="F218" s="2">
        <f t="shared" ca="1" si="9"/>
        <v>0.40653056824871031</v>
      </c>
      <c r="G218" s="72">
        <f t="shared" ca="1" si="10"/>
        <v>0.10163264206217758</v>
      </c>
      <c r="H218">
        <f t="shared" ca="1" si="11"/>
        <v>4272.930217681359</v>
      </c>
    </row>
    <row r="219" spans="5:8" x14ac:dyDescent="0.2">
      <c r="E219" s="2">
        <f ca="1"/>
        <v>0.61671222771098644</v>
      </c>
      <c r="F219" s="2">
        <f t="shared" ca="1" si="9"/>
        <v>0.29685718535049566</v>
      </c>
      <c r="G219" s="72">
        <f t="shared" ca="1" si="10"/>
        <v>7.4214296337623914E-2</v>
      </c>
      <c r="H219">
        <f t="shared" ca="1" si="11"/>
        <v>4157.3650818742653</v>
      </c>
    </row>
    <row r="220" spans="5:8" x14ac:dyDescent="0.2">
      <c r="E220" s="2">
        <f ca="1"/>
        <v>0.21144646615892482</v>
      </c>
      <c r="F220" s="2">
        <f t="shared" ca="1" si="9"/>
        <v>-0.80141241134717323</v>
      </c>
      <c r="G220" s="72">
        <f t="shared" ca="1" si="10"/>
        <v>-0.20035310283679331</v>
      </c>
      <c r="H220">
        <f t="shared" ca="1" si="11"/>
        <v>3159.184992728799</v>
      </c>
    </row>
    <row r="221" spans="5:8" x14ac:dyDescent="0.2">
      <c r="E221" s="2">
        <f ca="1"/>
        <v>0.9550953639514026</v>
      </c>
      <c r="F221" s="2">
        <f t="shared" ca="1" si="9"/>
        <v>1.696404658527761</v>
      </c>
      <c r="G221" s="72">
        <f t="shared" ca="1" si="10"/>
        <v>0.42410116463194025</v>
      </c>
      <c r="H221">
        <f t="shared" ca="1" si="11"/>
        <v>5898.9144833344526</v>
      </c>
    </row>
    <row r="222" spans="5:8" x14ac:dyDescent="0.2">
      <c r="E222" s="2">
        <f ca="1"/>
        <v>0.33511249451769465</v>
      </c>
      <c r="F222" s="2">
        <f t="shared" ca="1" si="9"/>
        <v>-0.42583924350817592</v>
      </c>
      <c r="G222" s="72">
        <f t="shared" ca="1" si="10"/>
        <v>-0.10645981087704398</v>
      </c>
      <c r="H222">
        <f t="shared" ca="1" si="11"/>
        <v>3470.1831467170937</v>
      </c>
    </row>
    <row r="223" spans="5:8" x14ac:dyDescent="0.2">
      <c r="E223" s="2">
        <f ca="1"/>
        <v>0.18263611691170722</v>
      </c>
      <c r="F223" s="2">
        <f t="shared" ca="1" si="9"/>
        <v>-0.90536465562149349</v>
      </c>
      <c r="G223" s="72">
        <f t="shared" ca="1" si="10"/>
        <v>-0.22634116390537337</v>
      </c>
      <c r="H223">
        <f t="shared" ca="1" si="11"/>
        <v>3078.1415424824318</v>
      </c>
    </row>
    <row r="224" spans="5:8" x14ac:dyDescent="0.2">
      <c r="E224" s="2">
        <f ca="1"/>
        <v>0.85907020557406266</v>
      </c>
      <c r="F224" s="2">
        <f t="shared" ca="1" si="9"/>
        <v>1.0761513155655853</v>
      </c>
      <c r="G224" s="72">
        <f t="shared" ca="1" si="10"/>
        <v>0.26903782889139632</v>
      </c>
      <c r="H224">
        <f t="shared" ca="1" si="11"/>
        <v>5051.5999372503275</v>
      </c>
    </row>
    <row r="225" spans="5:8" x14ac:dyDescent="0.2">
      <c r="E225" s="2">
        <f ca="1"/>
        <v>0.37176044212978709</v>
      </c>
      <c r="F225" s="2">
        <f t="shared" ca="1" si="9"/>
        <v>-0.32719436283842351</v>
      </c>
      <c r="G225" s="72">
        <f t="shared" ca="1" si="10"/>
        <v>-8.1798590709605878E-2</v>
      </c>
      <c r="H225">
        <f t="shared" ca="1" si="11"/>
        <v>3556.8260662442331</v>
      </c>
    </row>
    <row r="226" spans="5:8" x14ac:dyDescent="0.2">
      <c r="E226" s="2">
        <f ca="1"/>
        <v>0.56995692644155649</v>
      </c>
      <c r="F226" s="2">
        <f t="shared" ca="1" si="9"/>
        <v>0.17626450396573284</v>
      </c>
      <c r="G226" s="72">
        <f t="shared" ca="1" si="10"/>
        <v>4.4066125991433211E-2</v>
      </c>
      <c r="H226">
        <f t="shared" ca="1" si="11"/>
        <v>4033.8986265962048</v>
      </c>
    </row>
    <row r="227" spans="5:8" x14ac:dyDescent="0.2">
      <c r="E227" s="2">
        <f ca="1"/>
        <v>0.64488974604549165</v>
      </c>
      <c r="F227" s="2">
        <f t="shared" ca="1" si="9"/>
        <v>0.37155995648338541</v>
      </c>
      <c r="G227" s="72">
        <f t="shared" ca="1" si="10"/>
        <v>9.2889989120846353E-2</v>
      </c>
      <c r="H227">
        <f t="shared" ca="1" si="11"/>
        <v>4235.7362954288592</v>
      </c>
    </row>
    <row r="228" spans="5:8" x14ac:dyDescent="0.2">
      <c r="E228" s="2">
        <f ca="1"/>
        <v>0.35650772569382005</v>
      </c>
      <c r="F228" s="2">
        <f t="shared" ca="1" si="9"/>
        <v>-0.36780927669429647</v>
      </c>
      <c r="G228" s="72">
        <f t="shared" ca="1" si="10"/>
        <v>-9.1952319173574118E-2</v>
      </c>
      <c r="H228">
        <f t="shared" ca="1" si="11"/>
        <v>3520.8937523656755</v>
      </c>
    </row>
    <row r="229" spans="5:8" x14ac:dyDescent="0.2">
      <c r="E229" s="2">
        <f ca="1"/>
        <v>0.58135470569387659</v>
      </c>
      <c r="F229" s="2">
        <f t="shared" ca="1" si="9"/>
        <v>0.20536035966533822</v>
      </c>
      <c r="G229" s="72">
        <f t="shared" ca="1" si="10"/>
        <v>5.1340089916334555E-2</v>
      </c>
      <c r="H229">
        <f t="shared" ca="1" si="11"/>
        <v>4063.3480368079236</v>
      </c>
    </row>
    <row r="230" spans="5:8" x14ac:dyDescent="0.2">
      <c r="E230" s="2">
        <f ca="1"/>
        <v>2.2620261581440815E-3</v>
      </c>
      <c r="F230" s="2">
        <f t="shared" ca="1" si="9"/>
        <v>-2.839103197421442</v>
      </c>
      <c r="G230" s="72">
        <f t="shared" ca="1" si="10"/>
        <v>-0.7097757993553605</v>
      </c>
      <c r="H230">
        <f t="shared" ca="1" si="11"/>
        <v>1898.1721259104636</v>
      </c>
    </row>
    <row r="231" spans="5:8" x14ac:dyDescent="0.2">
      <c r="E231" s="2">
        <f ca="1"/>
        <v>0.63950918043998572</v>
      </c>
      <c r="F231" s="2">
        <f t="shared" ca="1" si="9"/>
        <v>0.35714716229501764</v>
      </c>
      <c r="G231" s="72">
        <f t="shared" ca="1" si="10"/>
        <v>8.928679057375441E-2</v>
      </c>
      <c r="H231">
        <f t="shared" ca="1" si="11"/>
        <v>4220.5015599344661</v>
      </c>
    </row>
    <row r="232" spans="5:8" x14ac:dyDescent="0.2">
      <c r="E232" s="2">
        <f ca="1"/>
        <v>0.93812449486682703</v>
      </c>
      <c r="F232" s="2">
        <f t="shared" ca="1" si="9"/>
        <v>1.5392183049786765</v>
      </c>
      <c r="G232" s="72">
        <f t="shared" ca="1" si="10"/>
        <v>0.38480457624466913</v>
      </c>
      <c r="H232">
        <f t="shared" ca="1" si="11"/>
        <v>5671.6028065360479</v>
      </c>
    </row>
    <row r="233" spans="5:8" x14ac:dyDescent="0.2">
      <c r="E233" s="2">
        <f ca="1"/>
        <v>2.5401057610970446E-2</v>
      </c>
      <c r="F233" s="2">
        <f t="shared" ca="1" si="9"/>
        <v>-1.9531475394431912</v>
      </c>
      <c r="G233" s="72">
        <f t="shared" ca="1" si="10"/>
        <v>-0.4882868848607978</v>
      </c>
      <c r="H233">
        <f t="shared" ca="1" si="11"/>
        <v>2368.7924217725017</v>
      </c>
    </row>
    <row r="234" spans="5:8" x14ac:dyDescent="0.2">
      <c r="E234" s="2">
        <f ca="1"/>
        <v>0.65412095951020688</v>
      </c>
      <c r="F234" s="2">
        <f t="shared" ca="1" si="9"/>
        <v>0.39647034442550516</v>
      </c>
      <c r="G234" s="72">
        <f t="shared" ca="1" si="10"/>
        <v>9.911758610637629E-2</v>
      </c>
      <c r="H234">
        <f t="shared" ca="1" si="11"/>
        <v>4262.1970619899494</v>
      </c>
    </row>
    <row r="235" spans="5:8" x14ac:dyDescent="0.2">
      <c r="E235" s="2">
        <f ca="1"/>
        <v>0.57884531824913021</v>
      </c>
      <c r="F235" s="2">
        <f t="shared" ca="1" si="9"/>
        <v>0.19894040378017072</v>
      </c>
      <c r="G235" s="72">
        <f t="shared" ca="1" si="10"/>
        <v>4.973510094504268E-2</v>
      </c>
      <c r="H235">
        <f t="shared" ca="1" si="11"/>
        <v>4056.8316387946461</v>
      </c>
    </row>
    <row r="236" spans="5:8" x14ac:dyDescent="0.2">
      <c r="E236" s="2">
        <f ca="1"/>
        <v>0.70683762565348185</v>
      </c>
      <c r="F236" s="2">
        <f t="shared" ca="1" si="9"/>
        <v>0.54416962989835815</v>
      </c>
      <c r="G236" s="72">
        <f t="shared" ca="1" si="10"/>
        <v>0.13604240747458954</v>
      </c>
      <c r="H236">
        <f t="shared" ca="1" si="11"/>
        <v>4422.5196531893207</v>
      </c>
    </row>
    <row r="237" spans="5:8" x14ac:dyDescent="0.2">
      <c r="E237" s="2">
        <f ca="1"/>
        <v>0.78100628752932511</v>
      </c>
      <c r="F237" s="2">
        <f t="shared" ca="1" si="9"/>
        <v>0.77559623358014418</v>
      </c>
      <c r="G237" s="72">
        <f t="shared" ca="1" si="10"/>
        <v>0.19389905839503604</v>
      </c>
      <c r="H237">
        <f t="shared" ca="1" si="11"/>
        <v>4685.9386221719715</v>
      </c>
    </row>
    <row r="238" spans="5:8" x14ac:dyDescent="0.2">
      <c r="E238" s="2">
        <f ca="1"/>
        <v>0.72178446724017764</v>
      </c>
      <c r="F238" s="2">
        <f t="shared" ca="1" si="9"/>
        <v>0.58815081836454064</v>
      </c>
      <c r="G238" s="72">
        <f t="shared" ca="1" si="10"/>
        <v>0.14703770459113516</v>
      </c>
      <c r="H238">
        <f t="shared" ca="1" si="11"/>
        <v>4471.4148869870278</v>
      </c>
    </row>
    <row r="239" spans="5:8" x14ac:dyDescent="0.2">
      <c r="E239" s="2">
        <f ca="1"/>
        <v>0.76145467873225536</v>
      </c>
      <c r="F239" s="2">
        <f t="shared" ca="1" si="9"/>
        <v>0.71098966126665852</v>
      </c>
      <c r="G239" s="72">
        <f t="shared" ca="1" si="10"/>
        <v>0.17774741531666463</v>
      </c>
      <c r="H239">
        <f t="shared" ca="1" si="11"/>
        <v>4610.8609600142472</v>
      </c>
    </row>
    <row r="240" spans="5:8" x14ac:dyDescent="0.2">
      <c r="E240" s="2">
        <f ca="1"/>
        <v>0.26195044194849304</v>
      </c>
      <c r="F240" s="2">
        <f t="shared" ca="1" si="9"/>
        <v>-0.6373438658192685</v>
      </c>
      <c r="G240" s="72">
        <f t="shared" ca="1" si="10"/>
        <v>-0.15933596645481712</v>
      </c>
      <c r="H240">
        <f t="shared" ca="1" si="11"/>
        <v>3291.4599397136908</v>
      </c>
    </row>
    <row r="241" spans="5:8" x14ac:dyDescent="0.2">
      <c r="E241" s="2">
        <f ca="1"/>
        <v>0.47163469699168115</v>
      </c>
      <c r="F241" s="2">
        <f t="shared" ca="1" si="9"/>
        <v>-7.1161284220594825E-2</v>
      </c>
      <c r="G241" s="72">
        <f t="shared" ca="1" si="10"/>
        <v>-1.7790321055148706E-2</v>
      </c>
      <c r="H241">
        <f t="shared" ca="1" si="11"/>
        <v>3791.9365908154327</v>
      </c>
    </row>
    <row r="242" spans="5:8" x14ac:dyDescent="0.2">
      <c r="E242" s="2">
        <f ca="1"/>
        <v>0.14644178600676505</v>
      </c>
      <c r="F242" s="2">
        <f t="shared" ca="1" si="9"/>
        <v>-1.0518168820897882</v>
      </c>
      <c r="G242" s="72">
        <f t="shared" ca="1" si="10"/>
        <v>-0.26295422052244705</v>
      </c>
      <c r="H242">
        <f t="shared" ca="1" si="11"/>
        <v>2967.4795701759344</v>
      </c>
    </row>
    <row r="243" spans="5:8" x14ac:dyDescent="0.2">
      <c r="E243" s="2">
        <f ca="1"/>
        <v>0.91256717259436737</v>
      </c>
      <c r="F243" s="2">
        <f t="shared" ca="1" si="9"/>
        <v>1.3567342841087209</v>
      </c>
      <c r="G243" s="72">
        <f t="shared" ca="1" si="10"/>
        <v>0.33918357102718022</v>
      </c>
      <c r="H243">
        <f t="shared" ca="1" si="11"/>
        <v>5418.6719323992165</v>
      </c>
    </row>
    <row r="244" spans="5:8" x14ac:dyDescent="0.2">
      <c r="E244" s="2">
        <f ca="1"/>
        <v>0.40469016764305499</v>
      </c>
      <c r="F244" s="2">
        <f t="shared" ca="1" si="9"/>
        <v>-0.24122551668736966</v>
      </c>
      <c r="G244" s="72">
        <f t="shared" ca="1" si="10"/>
        <v>-6.0306379171842416E-2</v>
      </c>
      <c r="H244">
        <f t="shared" ca="1" si="11"/>
        <v>3634.0975172669541</v>
      </c>
    </row>
    <row r="245" spans="5:8" x14ac:dyDescent="0.2">
      <c r="E245" s="2">
        <f ca="1"/>
        <v>0.90028783647922817</v>
      </c>
      <c r="F245" s="2">
        <f t="shared" ca="1" si="9"/>
        <v>1.2831934018498063</v>
      </c>
      <c r="G245" s="72">
        <f t="shared" ca="1" si="10"/>
        <v>0.32079835046245159</v>
      </c>
      <c r="H245">
        <f t="shared" ca="1" si="11"/>
        <v>5319.9586668761613</v>
      </c>
    </row>
    <row r="246" spans="5:8" x14ac:dyDescent="0.2">
      <c r="E246" s="2">
        <f ca="1"/>
        <v>0.61532563225393688</v>
      </c>
      <c r="F246" s="2">
        <f t="shared" ca="1" si="9"/>
        <v>0.29322688506911482</v>
      </c>
      <c r="G246" s="72">
        <f t="shared" ca="1" si="10"/>
        <v>7.3306721267278704E-2</v>
      </c>
      <c r="H246">
        <f t="shared" ca="1" si="11"/>
        <v>4153.5936726450054</v>
      </c>
    </row>
    <row r="247" spans="5:8" x14ac:dyDescent="0.2">
      <c r="E247" s="2">
        <f ca="1"/>
        <v>0.81948559297591284</v>
      </c>
      <c r="F247" s="2">
        <f t="shared" ca="1" si="9"/>
        <v>0.91340645093560635</v>
      </c>
      <c r="G247" s="72">
        <f t="shared" ca="1" si="10"/>
        <v>0.22835161273390159</v>
      </c>
      <c r="H247">
        <f t="shared" ca="1" si="11"/>
        <v>4850.1944465148363</v>
      </c>
    </row>
    <row r="248" spans="5:8" x14ac:dyDescent="0.2">
      <c r="E248" s="2">
        <f ca="1"/>
        <v>0.58022188340038361</v>
      </c>
      <c r="F248" s="2">
        <f t="shared" ca="1" si="9"/>
        <v>0.20246114240649049</v>
      </c>
      <c r="G248" s="72">
        <f t="shared" ca="1" si="10"/>
        <v>5.0615285601622623E-2</v>
      </c>
      <c r="H248">
        <f t="shared" ca="1" si="11"/>
        <v>4060.4039716831085</v>
      </c>
    </row>
    <row r="249" spans="5:8" x14ac:dyDescent="0.2">
      <c r="E249" s="2">
        <f ca="1"/>
        <v>0.58111486667710999</v>
      </c>
      <c r="F249" s="2">
        <f t="shared" ca="1" si="9"/>
        <v>0.20474639957455867</v>
      </c>
      <c r="G249" s="72">
        <f t="shared" ca="1" si="10"/>
        <v>5.1186599893639669E-2</v>
      </c>
      <c r="H249">
        <f t="shared" ca="1" si="11"/>
        <v>4062.7244012876763</v>
      </c>
    </row>
    <row r="250" spans="5:8" x14ac:dyDescent="0.2">
      <c r="E250" s="2">
        <f ca="1"/>
        <v>0.22539959725448333</v>
      </c>
      <c r="F250" s="2">
        <f t="shared" ca="1" si="9"/>
        <v>-0.75408331664364869</v>
      </c>
      <c r="G250" s="72">
        <f t="shared" ca="1" si="10"/>
        <v>-0.18852082916091217</v>
      </c>
      <c r="H250">
        <f t="shared" ca="1" si="11"/>
        <v>3196.7873561814404</v>
      </c>
    </row>
    <row r="251" spans="5:8" x14ac:dyDescent="0.2">
      <c r="E251" s="2">
        <f ca="1"/>
        <v>6.7715340974484173E-2</v>
      </c>
      <c r="F251" s="2">
        <f t="shared" ca="1" si="9"/>
        <v>-1.4930248510044277</v>
      </c>
      <c r="G251" s="72">
        <f t="shared" ca="1" si="10"/>
        <v>-0.37325621275110693</v>
      </c>
      <c r="H251">
        <f t="shared" ca="1" si="11"/>
        <v>2657.5668090388731</v>
      </c>
    </row>
    <row r="252" spans="5:8" x14ac:dyDescent="0.2">
      <c r="E252" s="2">
        <f ca="1"/>
        <v>0.25132141119222595</v>
      </c>
      <c r="F252" s="2">
        <f t="shared" ca="1" si="9"/>
        <v>-0.6703372561155273</v>
      </c>
      <c r="G252" s="72">
        <f t="shared" ca="1" si="10"/>
        <v>-0.16758431402888183</v>
      </c>
      <c r="H252">
        <f t="shared" ca="1" si="11"/>
        <v>3264.4224945189731</v>
      </c>
    </row>
    <row r="253" spans="5:8" x14ac:dyDescent="0.2">
      <c r="E253" s="2">
        <f ca="1"/>
        <v>0.96321029228861499</v>
      </c>
      <c r="F253" s="2">
        <f t="shared" ca="1" si="9"/>
        <v>1.7892198540835431</v>
      </c>
      <c r="G253" s="72">
        <f t="shared" ca="1" si="10"/>
        <v>0.44730496352088578</v>
      </c>
      <c r="H253">
        <f t="shared" ca="1" si="11"/>
        <v>6037.3920988785212</v>
      </c>
    </row>
    <row r="254" spans="5:8" x14ac:dyDescent="0.2">
      <c r="E254" s="2">
        <f ca="1"/>
        <v>0.10315879260980765</v>
      </c>
      <c r="F254" s="2">
        <f t="shared" ca="1" si="9"/>
        <v>-1.2637560923423767</v>
      </c>
      <c r="G254" s="72">
        <f t="shared" ca="1" si="10"/>
        <v>-0.31593902308559418</v>
      </c>
      <c r="H254">
        <f t="shared" ca="1" si="11"/>
        <v>2814.341082250296</v>
      </c>
    </row>
    <row r="255" spans="5:8" x14ac:dyDescent="0.2">
      <c r="E255" s="2">
        <f ca="1"/>
        <v>0.27797014957851895</v>
      </c>
      <c r="F255" s="2">
        <f t="shared" ca="1" si="9"/>
        <v>-0.58888219998975599</v>
      </c>
      <c r="G255" s="72">
        <f t="shared" ca="1" si="10"/>
        <v>-0.147220549997439</v>
      </c>
      <c r="H255">
        <f t="shared" ca="1" si="11"/>
        <v>3331.579891856562</v>
      </c>
    </row>
    <row r="256" spans="5:8" x14ac:dyDescent="0.2">
      <c r="E256" s="2">
        <f ca="1"/>
        <v>0.8969403348357865</v>
      </c>
      <c r="F256" s="2">
        <f t="shared" ca="1" si="9"/>
        <v>1.2643084709428463</v>
      </c>
      <c r="G256" s="72">
        <f t="shared" ca="1" si="10"/>
        <v>0.31607711773571157</v>
      </c>
      <c r="H256">
        <f t="shared" ca="1" si="11"/>
        <v>5294.9011017559405</v>
      </c>
    </row>
    <row r="257" spans="5:8" x14ac:dyDescent="0.2">
      <c r="E257" s="2">
        <f ca="1"/>
        <v>7.6441083968670442E-2</v>
      </c>
      <c r="F257" s="2">
        <f t="shared" ca="1" si="9"/>
        <v>-1.4294248232409461</v>
      </c>
      <c r="G257" s="72">
        <f t="shared" ca="1" si="10"/>
        <v>-0.35735620581023653</v>
      </c>
      <c r="H257">
        <f t="shared" ca="1" si="11"/>
        <v>2700.1598573038941</v>
      </c>
    </row>
    <row r="258" spans="5:8" x14ac:dyDescent="0.2">
      <c r="E258" s="2">
        <f ca="1"/>
        <v>0.36092702327881221</v>
      </c>
      <c r="F258" s="2">
        <f t="shared" ca="1" si="9"/>
        <v>-0.35598199831471716</v>
      </c>
      <c r="G258" s="72">
        <f t="shared" ca="1" si="10"/>
        <v>-8.8995499578679291E-2</v>
      </c>
      <c r="H258">
        <f t="shared" ca="1" si="11"/>
        <v>3531.3198063885707</v>
      </c>
    </row>
    <row r="259" spans="5:8" x14ac:dyDescent="0.2">
      <c r="E259" s="2">
        <f ca="1"/>
        <v>0.5760909617496599</v>
      </c>
      <c r="F259" s="2">
        <f t="shared" ca="1" si="9"/>
        <v>0.19190314165186395</v>
      </c>
      <c r="G259" s="72">
        <f t="shared" ca="1" si="10"/>
        <v>4.7975785412965988E-2</v>
      </c>
      <c r="H259">
        <f t="shared" ca="1" si="11"/>
        <v>4049.7006665359318</v>
      </c>
    </row>
    <row r="260" spans="5:8" x14ac:dyDescent="0.2">
      <c r="E260" s="2">
        <f ca="1"/>
        <v>0.36766658364674942</v>
      </c>
      <c r="F260" s="2">
        <f t="shared" ca="1" si="9"/>
        <v>-0.33803983715531433</v>
      </c>
      <c r="G260" s="72">
        <f t="shared" ca="1" si="10"/>
        <v>-8.4509959288828582E-2</v>
      </c>
      <c r="H260">
        <f t="shared" ca="1" si="11"/>
        <v>3547.195262036505</v>
      </c>
    </row>
    <row r="261" spans="5:8" x14ac:dyDescent="0.2">
      <c r="E261" s="2">
        <f ca="1"/>
        <v>7.2965105938529673E-2</v>
      </c>
      <c r="F261" s="2">
        <f t="shared" ca="1" si="9"/>
        <v>-1.4540580530796183</v>
      </c>
      <c r="G261" s="72">
        <f t="shared" ca="1" si="10"/>
        <v>-0.36351451326990458</v>
      </c>
      <c r="H261">
        <f t="shared" ca="1" si="11"/>
        <v>2683.5825392140455</v>
      </c>
    </row>
    <row r="262" spans="5:8" x14ac:dyDescent="0.2">
      <c r="E262" s="2">
        <f ca="1"/>
        <v>0.49134867783459568</v>
      </c>
      <c r="F262" s="2">
        <f t="shared" ca="1" si="9"/>
        <v>-2.168734870802828E-2</v>
      </c>
      <c r="G262" s="72">
        <f t="shared" ca="1" si="10"/>
        <v>-5.4218371770070701E-3</v>
      </c>
      <c r="H262">
        <f t="shared" ca="1" si="11"/>
        <v>3839.1283409942603</v>
      </c>
    </row>
    <row r="263" spans="5:8" x14ac:dyDescent="0.2">
      <c r="E263" s="2">
        <f ca="1"/>
        <v>4.2544681049898392E-2</v>
      </c>
      <c r="F263" s="2">
        <f t="shared" ca="1" si="9"/>
        <v>-1.7218904675494808</v>
      </c>
      <c r="G263" s="72">
        <f t="shared" ca="1" si="10"/>
        <v>-0.43047261688737021</v>
      </c>
      <c r="H263">
        <f t="shared" ca="1" si="11"/>
        <v>2509.7786615083314</v>
      </c>
    </row>
    <row r="264" spans="5:8" x14ac:dyDescent="0.2">
      <c r="E264" s="2">
        <f ca="1"/>
        <v>0.96624076562979466</v>
      </c>
      <c r="F264" s="2">
        <f t="shared" ca="1" si="9"/>
        <v>1.8282071474179518</v>
      </c>
      <c r="G264" s="72">
        <f t="shared" ca="1" si="10"/>
        <v>0.45705178685448794</v>
      </c>
      <c r="H264">
        <f t="shared" ca="1" si="11"/>
        <v>6096.5252048915818</v>
      </c>
    </row>
    <row r="265" spans="5:8" x14ac:dyDescent="0.2">
      <c r="E265" s="2">
        <f ca="1"/>
        <v>0.60965699343356095</v>
      </c>
      <c r="F265" s="2">
        <f t="shared" ca="1" si="9"/>
        <v>0.27842515316079952</v>
      </c>
      <c r="G265" s="72">
        <f t="shared" ca="1" si="10"/>
        <v>6.960628829019988E-2</v>
      </c>
      <c r="H265">
        <f t="shared" ca="1" si="11"/>
        <v>4138.251980603347</v>
      </c>
    </row>
    <row r="266" spans="5:8" x14ac:dyDescent="0.2">
      <c r="E266" s="2">
        <f ca="1"/>
        <v>0.44143313510260418</v>
      </c>
      <c r="F266" s="2">
        <f t="shared" ca="1" si="9"/>
        <v>-0.14733669486306861</v>
      </c>
      <c r="G266" s="72">
        <f t="shared" ca="1" si="10"/>
        <v>-3.6834173715767152E-2</v>
      </c>
      <c r="H266">
        <f t="shared" ca="1" si="11"/>
        <v>3720.4067725285609</v>
      </c>
    </row>
    <row r="267" spans="5:8" x14ac:dyDescent="0.2">
      <c r="E267" s="2">
        <f ca="1"/>
        <v>3.1585453160305255E-2</v>
      </c>
      <c r="F267" s="2">
        <f t="shared" ca="1" si="9"/>
        <v>-1.8579866768629432</v>
      </c>
      <c r="G267" s="72">
        <f t="shared" ca="1" si="10"/>
        <v>-0.46449666921573579</v>
      </c>
      <c r="H267">
        <f t="shared" ca="1" si="11"/>
        <v>2425.8221897876579</v>
      </c>
    </row>
    <row r="268" spans="5:8" x14ac:dyDescent="0.2">
      <c r="E268" s="2">
        <f ca="1"/>
        <v>0.56260776239175425</v>
      </c>
      <c r="F268" s="2">
        <f t="shared" ca="1" si="9"/>
        <v>0.15758417380382894</v>
      </c>
      <c r="G268" s="72">
        <f t="shared" ca="1" si="10"/>
        <v>3.9396043450957235E-2</v>
      </c>
      <c r="H268">
        <f t="shared" ca="1" si="11"/>
        <v>4015.1039076533557</v>
      </c>
    </row>
    <row r="269" spans="5:8" x14ac:dyDescent="0.2">
      <c r="E269" s="2">
        <f ca="1"/>
        <v>0.44717416184717496</v>
      </c>
      <c r="F269" s="2">
        <f t="shared" ca="1" si="9"/>
        <v>-0.13280408490173204</v>
      </c>
      <c r="G269" s="72">
        <f t="shared" ca="1" si="10"/>
        <v>-3.320102122543301E-2</v>
      </c>
      <c r="H269">
        <f t="shared" ca="1" si="11"/>
        <v>3733.9481617298829</v>
      </c>
    </row>
    <row r="270" spans="5:8" x14ac:dyDescent="0.2">
      <c r="E270" s="2">
        <f ca="1"/>
        <v>0.15911949044689289</v>
      </c>
      <c r="F270" s="2">
        <f t="shared" ca="1" si="9"/>
        <v>-0.99808327211868841</v>
      </c>
      <c r="G270" s="72">
        <f t="shared" ca="1" si="10"/>
        <v>-0.2495208180296721</v>
      </c>
      <c r="H270">
        <f t="shared" ca="1" si="11"/>
        <v>3007.6118707960568</v>
      </c>
    </row>
    <row r="271" spans="5:8" x14ac:dyDescent="0.2">
      <c r="E271" s="2">
        <f ca="1"/>
        <v>0.98422411115199115</v>
      </c>
      <c r="F271" s="2">
        <f t="shared" ca="1" si="9"/>
        <v>2.1500434544008935</v>
      </c>
      <c r="G271" s="72">
        <f t="shared" ca="1" si="10"/>
        <v>0.53751086360022338</v>
      </c>
      <c r="H271">
        <f t="shared" ca="1" si="11"/>
        <v>6607.3194827950965</v>
      </c>
    </row>
    <row r="272" spans="5:8" x14ac:dyDescent="0.2">
      <c r="E272" s="2">
        <f ca="1"/>
        <v>0.36733035673488512</v>
      </c>
      <c r="F272" s="2">
        <f t="shared" ca="1" si="9"/>
        <v>-0.33893232352443292</v>
      </c>
      <c r="G272" s="72">
        <f t="shared" ca="1" si="10"/>
        <v>-8.473308088110823E-2</v>
      </c>
      <c r="H272">
        <f t="shared" ca="1" si="11"/>
        <v>3546.4038944703916</v>
      </c>
    </row>
    <row r="273" spans="5:8" x14ac:dyDescent="0.2">
      <c r="E273" s="2">
        <f ca="1"/>
        <v>0.77574649647446181</v>
      </c>
      <c r="F273" s="2">
        <f t="shared" ca="1" si="9"/>
        <v>0.75790641934038605</v>
      </c>
      <c r="G273" s="72">
        <f t="shared" ca="1" si="10"/>
        <v>0.18947660483509651</v>
      </c>
      <c r="H273">
        <f t="shared" ca="1" si="11"/>
        <v>4665.2610327712946</v>
      </c>
    </row>
    <row r="274" spans="5:8" x14ac:dyDescent="0.2">
      <c r="E274" s="2">
        <f ca="1"/>
        <v>0.94675681578336435</v>
      </c>
      <c r="F274" s="2">
        <f t="shared" ca="1" si="9"/>
        <v>1.6141893172671602</v>
      </c>
      <c r="G274" s="72">
        <f t="shared" ca="1" si="10"/>
        <v>0.40354732931679005</v>
      </c>
      <c r="H274">
        <f t="shared" ca="1" si="11"/>
        <v>5778.9067014442717</v>
      </c>
    </row>
    <row r="275" spans="5:8" x14ac:dyDescent="0.2">
      <c r="E275" s="2">
        <f ca="1"/>
        <v>0.26781494553681373</v>
      </c>
      <c r="F275" s="2">
        <f t="shared" ref="F275:F338" ca="1" si="12">_xlfn.NORM.S.INV(E275)</f>
        <v>-0.61943490719648919</v>
      </c>
      <c r="G275" s="72">
        <f t="shared" ref="G275:G338" ca="1" si="13">$G$12+$G$13*F275</f>
        <v>-0.1548587267991223</v>
      </c>
      <c r="H275">
        <f t="shared" ref="H275:H338" ca="1" si="14">$G$11*EXP(G275)</f>
        <v>3306.2296337384373</v>
      </c>
    </row>
    <row r="276" spans="5:8" x14ac:dyDescent="0.2">
      <c r="E276" s="2">
        <f ca="1"/>
        <v>0.34181469502316331</v>
      </c>
      <c r="F276" s="2">
        <f t="shared" ca="1" si="12"/>
        <v>-0.40751553033799154</v>
      </c>
      <c r="G276" s="72">
        <f t="shared" ca="1" si="13"/>
        <v>-0.10187888258449788</v>
      </c>
      <c r="H276">
        <f t="shared" ca="1" si="14"/>
        <v>3486.1162732663884</v>
      </c>
    </row>
    <row r="277" spans="5:8" x14ac:dyDescent="0.2">
      <c r="E277" s="2">
        <f ca="1"/>
        <v>0.93695747094935977</v>
      </c>
      <c r="F277" s="2">
        <f t="shared" ca="1" si="12"/>
        <v>1.5297240093369875</v>
      </c>
      <c r="G277" s="72">
        <f t="shared" ca="1" si="13"/>
        <v>0.38243100233424687</v>
      </c>
      <c r="H277">
        <f t="shared" ca="1" si="14"/>
        <v>5658.1568019397655</v>
      </c>
    </row>
    <row r="278" spans="5:8" x14ac:dyDescent="0.2">
      <c r="E278" s="2">
        <f ca="1"/>
        <v>0.45894965383804309</v>
      </c>
      <c r="F278" s="2">
        <f t="shared" ca="1" si="12"/>
        <v>-0.10308021478927173</v>
      </c>
      <c r="G278" s="72">
        <f t="shared" ca="1" si="13"/>
        <v>-2.5770053697317934E-2</v>
      </c>
      <c r="H278">
        <f t="shared" ca="1" si="14"/>
        <v>3761.7983580681557</v>
      </c>
    </row>
    <row r="279" spans="5:8" x14ac:dyDescent="0.2">
      <c r="E279" s="2">
        <f ca="1"/>
        <v>0.27505863388456353</v>
      </c>
      <c r="F279" s="2">
        <f t="shared" ca="1" si="12"/>
        <v>-0.59758441209595081</v>
      </c>
      <c r="G279" s="72">
        <f t="shared" ca="1" si="13"/>
        <v>-0.1493961030239877</v>
      </c>
      <c r="H279">
        <f t="shared" ca="1" si="14"/>
        <v>3324.3397416606349</v>
      </c>
    </row>
    <row r="280" spans="5:8" x14ac:dyDescent="0.2">
      <c r="E280" s="2">
        <f ca="1"/>
        <v>0.43651293595845164</v>
      </c>
      <c r="F280" s="2">
        <f t="shared" ca="1" si="12"/>
        <v>-0.15981618786188853</v>
      </c>
      <c r="G280" s="72">
        <f t="shared" ca="1" si="13"/>
        <v>-3.9954046965472133E-2</v>
      </c>
      <c r="H280">
        <f t="shared" ca="1" si="14"/>
        <v>3708.8176626382156</v>
      </c>
    </row>
    <row r="281" spans="5:8" x14ac:dyDescent="0.2">
      <c r="E281" s="2">
        <f ca="1"/>
        <v>0.42437303231341383</v>
      </c>
      <c r="F281" s="2">
        <f t="shared" ca="1" si="12"/>
        <v>-0.19071860108473712</v>
      </c>
      <c r="G281" s="72">
        <f t="shared" ca="1" si="13"/>
        <v>-4.767965027118428E-2</v>
      </c>
      <c r="H281">
        <f t="shared" ca="1" si="14"/>
        <v>3680.275204460861</v>
      </c>
    </row>
    <row r="282" spans="5:8" x14ac:dyDescent="0.2">
      <c r="E282" s="2">
        <f ca="1"/>
        <v>0.19616103699562615</v>
      </c>
      <c r="F282" s="2">
        <f t="shared" ca="1" si="12"/>
        <v>-0.85541385879423704</v>
      </c>
      <c r="G282" s="72">
        <f t="shared" ca="1" si="13"/>
        <v>-0.21385346469855926</v>
      </c>
      <c r="H282">
        <f t="shared" ca="1" si="14"/>
        <v>3116.8214570978157</v>
      </c>
    </row>
    <row r="283" spans="5:8" x14ac:dyDescent="0.2">
      <c r="E283" s="2">
        <f ca="1"/>
        <v>0.67239262111679965</v>
      </c>
      <c r="F283" s="2">
        <f t="shared" ca="1" si="12"/>
        <v>0.44652956991142395</v>
      </c>
      <c r="G283" s="72">
        <f t="shared" ca="1" si="13"/>
        <v>0.11163239247785599</v>
      </c>
      <c r="H283">
        <f t="shared" ca="1" si="14"/>
        <v>4315.8728031337268</v>
      </c>
    </row>
    <row r="284" spans="5:8" x14ac:dyDescent="0.2">
      <c r="E284" s="2">
        <f ca="1"/>
        <v>0.18379314474979691</v>
      </c>
      <c r="F284" s="2">
        <f t="shared" ca="1" si="12"/>
        <v>-0.90100381836303434</v>
      </c>
      <c r="G284" s="72">
        <f t="shared" ca="1" si="13"/>
        <v>-0.22525095459075858</v>
      </c>
      <c r="H284">
        <f t="shared" ca="1" si="14"/>
        <v>3081.4991910010308</v>
      </c>
    </row>
    <row r="285" spans="5:8" x14ac:dyDescent="0.2">
      <c r="E285" s="2">
        <f ca="1"/>
        <v>0.86776498364144516</v>
      </c>
      <c r="F285" s="2">
        <f t="shared" ca="1" si="12"/>
        <v>1.1158881081272811</v>
      </c>
      <c r="G285" s="72">
        <f t="shared" ca="1" si="13"/>
        <v>0.27897202703182028</v>
      </c>
      <c r="H285">
        <f t="shared" ca="1" si="14"/>
        <v>5102.0336263159843</v>
      </c>
    </row>
    <row r="286" spans="5:8" x14ac:dyDescent="0.2">
      <c r="E286" s="2">
        <f ca="1"/>
        <v>0.85310852297727102</v>
      </c>
      <c r="F286" s="2">
        <f t="shared" ca="1" si="12"/>
        <v>1.0498589788375707</v>
      </c>
      <c r="G286" s="72">
        <f t="shared" ca="1" si="13"/>
        <v>0.26246474470939268</v>
      </c>
      <c r="H286">
        <f t="shared" ca="1" si="14"/>
        <v>5018.5042351862749</v>
      </c>
    </row>
    <row r="287" spans="5:8" x14ac:dyDescent="0.2">
      <c r="E287" s="2">
        <f ca="1"/>
        <v>0.55011642101263747</v>
      </c>
      <c r="F287" s="2">
        <f t="shared" ca="1" si="12"/>
        <v>0.12595548968214951</v>
      </c>
      <c r="G287" s="72">
        <f t="shared" ca="1" si="13"/>
        <v>3.1488872420537377E-2</v>
      </c>
      <c r="H287">
        <f t="shared" ca="1" si="14"/>
        <v>3983.4809830513918</v>
      </c>
    </row>
    <row r="288" spans="5:8" x14ac:dyDescent="0.2">
      <c r="E288" s="2">
        <f ca="1"/>
        <v>0.4792527791023371</v>
      </c>
      <c r="F288" s="2">
        <f t="shared" ca="1" si="12"/>
        <v>-5.2029034937325649E-2</v>
      </c>
      <c r="G288" s="72">
        <f t="shared" ca="1" si="13"/>
        <v>-1.3007258734331412E-2</v>
      </c>
      <c r="H288">
        <f t="shared" ca="1" si="14"/>
        <v>3810.1171044501011</v>
      </c>
    </row>
    <row r="289" spans="5:8" x14ac:dyDescent="0.2">
      <c r="E289" s="2">
        <f ca="1"/>
        <v>0.15791955548763137</v>
      </c>
      <c r="F289" s="2">
        <f t="shared" ca="1" si="12"/>
        <v>-1.0030450802757589</v>
      </c>
      <c r="G289" s="72">
        <f t="shared" ca="1" si="13"/>
        <v>-0.25076127006893972</v>
      </c>
      <c r="H289">
        <f t="shared" ca="1" si="14"/>
        <v>3003.883385499289</v>
      </c>
    </row>
    <row r="290" spans="5:8" x14ac:dyDescent="0.2">
      <c r="E290" s="2">
        <f ca="1"/>
        <v>0.94031598760976642</v>
      </c>
      <c r="F290" s="2">
        <f t="shared" ca="1" si="12"/>
        <v>1.5574316998638094</v>
      </c>
      <c r="G290" s="72">
        <f t="shared" ca="1" si="13"/>
        <v>0.38935792496595234</v>
      </c>
      <c r="H290">
        <f t="shared" ca="1" si="14"/>
        <v>5697.4864758887297</v>
      </c>
    </row>
    <row r="291" spans="5:8" x14ac:dyDescent="0.2">
      <c r="E291" s="2">
        <f ca="1"/>
        <v>0.87747283870423121</v>
      </c>
      <c r="F291" s="2">
        <f t="shared" ca="1" si="12"/>
        <v>1.1624460609817866</v>
      </c>
      <c r="G291" s="72">
        <f t="shared" ca="1" si="13"/>
        <v>0.29061151524544665</v>
      </c>
      <c r="H291">
        <f t="shared" ca="1" si="14"/>
        <v>5161.7656372321699</v>
      </c>
    </row>
    <row r="292" spans="5:8" x14ac:dyDescent="0.2">
      <c r="E292" s="2">
        <f ca="1"/>
        <v>0.6505971244023141</v>
      </c>
      <c r="F292" s="2">
        <f t="shared" ca="1" si="12"/>
        <v>0.38693307927016074</v>
      </c>
      <c r="G292" s="72">
        <f t="shared" ca="1" si="13"/>
        <v>9.6733269817540185E-2</v>
      </c>
      <c r="H292">
        <f t="shared" ca="1" si="14"/>
        <v>4252.0467417044974</v>
      </c>
    </row>
    <row r="293" spans="5:8" x14ac:dyDescent="0.2">
      <c r="E293" s="2">
        <f ca="1"/>
        <v>1.6844353423246305E-2</v>
      </c>
      <c r="F293" s="2">
        <f t="shared" ca="1" si="12"/>
        <v>-2.1237780551983749</v>
      </c>
      <c r="G293" s="72">
        <f t="shared" ca="1" si="13"/>
        <v>-0.53094451379959373</v>
      </c>
      <c r="H293">
        <f t="shared" ca="1" si="14"/>
        <v>2269.8702463858158</v>
      </c>
    </row>
    <row r="294" spans="5:8" x14ac:dyDescent="0.2">
      <c r="E294" s="2">
        <f ca="1"/>
        <v>6.686888278577463E-2</v>
      </c>
      <c r="F294" s="2">
        <f t="shared" ca="1" si="12"/>
        <v>-1.4995239295634673</v>
      </c>
      <c r="G294" s="72">
        <f t="shared" ca="1" si="13"/>
        <v>-0.37488098239086681</v>
      </c>
      <c r="H294">
        <f t="shared" ca="1" si="14"/>
        <v>2653.2523810968096</v>
      </c>
    </row>
    <row r="295" spans="5:8" x14ac:dyDescent="0.2">
      <c r="E295" s="2">
        <f ca="1"/>
        <v>0.46362705854875719</v>
      </c>
      <c r="F295" s="2">
        <f t="shared" ca="1" si="12"/>
        <v>-9.1300126978120663E-2</v>
      </c>
      <c r="G295" s="72">
        <f t="shared" ca="1" si="13"/>
        <v>-2.2825031744530166E-2</v>
      </c>
      <c r="H295">
        <f t="shared" ca="1" si="14"/>
        <v>3772.8932661696026</v>
      </c>
    </row>
    <row r="296" spans="5:8" x14ac:dyDescent="0.2">
      <c r="E296" s="2">
        <f ca="1"/>
        <v>0.12107202292128294</v>
      </c>
      <c r="F296" s="2">
        <f t="shared" ca="1" si="12"/>
        <v>-1.1696445387036749</v>
      </c>
      <c r="G296" s="72">
        <f t="shared" ca="1" si="13"/>
        <v>-0.29241113467591873</v>
      </c>
      <c r="H296">
        <f t="shared" ca="1" si="14"/>
        <v>2881.3416858244964</v>
      </c>
    </row>
    <row r="297" spans="5:8" x14ac:dyDescent="0.2">
      <c r="E297" s="2">
        <f ca="1"/>
        <v>0.30433777473209767</v>
      </c>
      <c r="F297" s="2">
        <f t="shared" ca="1" si="12"/>
        <v>-0.51196493671251175</v>
      </c>
      <c r="G297" s="72">
        <f t="shared" ca="1" si="13"/>
        <v>-0.12799123417812794</v>
      </c>
      <c r="H297">
        <f t="shared" ca="1" si="14"/>
        <v>3396.2638144114694</v>
      </c>
    </row>
    <row r="298" spans="5:8" x14ac:dyDescent="0.2">
      <c r="E298" s="2">
        <f ca="1"/>
        <v>0.30045578302623932</v>
      </c>
      <c r="F298" s="2">
        <f t="shared" ca="1" si="12"/>
        <v>-0.52309008346313923</v>
      </c>
      <c r="G298" s="72">
        <f t="shared" ca="1" si="13"/>
        <v>-0.13077252086578481</v>
      </c>
      <c r="H298">
        <f t="shared" ca="1" si="14"/>
        <v>3386.8309549006681</v>
      </c>
    </row>
    <row r="299" spans="5:8" x14ac:dyDescent="0.2">
      <c r="E299" s="2">
        <f ca="1"/>
        <v>0.72284449516798333</v>
      </c>
      <c r="F299" s="2">
        <f t="shared" ca="1" si="12"/>
        <v>0.59131256875359539</v>
      </c>
      <c r="G299" s="72">
        <f t="shared" ca="1" si="13"/>
        <v>0.14782814218839885</v>
      </c>
      <c r="H299">
        <f t="shared" ca="1" si="14"/>
        <v>4474.9506586460011</v>
      </c>
    </row>
    <row r="300" spans="5:8" x14ac:dyDescent="0.2">
      <c r="E300" s="2">
        <f ca="1"/>
        <v>4.8051195494349441E-2</v>
      </c>
      <c r="F300" s="2">
        <f t="shared" ca="1" si="12"/>
        <v>-1.6640502343573758</v>
      </c>
      <c r="G300" s="72">
        <f t="shared" ca="1" si="13"/>
        <v>-0.41601255858934394</v>
      </c>
      <c r="H300">
        <f t="shared" ca="1" si="14"/>
        <v>2546.33386550759</v>
      </c>
    </row>
    <row r="301" spans="5:8" x14ac:dyDescent="0.2">
      <c r="E301" s="2">
        <f ca="1"/>
        <v>7.5874478074013041E-2</v>
      </c>
      <c r="F301" s="2">
        <f t="shared" ca="1" si="12"/>
        <v>-1.4333811016254558</v>
      </c>
      <c r="G301" s="72">
        <f t="shared" ca="1" si="13"/>
        <v>-0.35834527540636396</v>
      </c>
      <c r="H301">
        <f t="shared" ca="1" si="14"/>
        <v>2697.4905315764186</v>
      </c>
    </row>
    <row r="302" spans="5:8" x14ac:dyDescent="0.2">
      <c r="E302" s="2">
        <f ca="1"/>
        <v>0.90806478106835775</v>
      </c>
      <c r="F302" s="2">
        <f t="shared" ca="1" si="12"/>
        <v>1.3289319013049274</v>
      </c>
      <c r="G302" s="72">
        <f t="shared" ca="1" si="13"/>
        <v>0.33223297532623186</v>
      </c>
      <c r="H302">
        <f t="shared" ca="1" si="14"/>
        <v>5381.139521967877</v>
      </c>
    </row>
    <row r="303" spans="5:8" x14ac:dyDescent="0.2">
      <c r="E303" s="2">
        <f ca="1"/>
        <v>0.7241339445598074</v>
      </c>
      <c r="F303" s="2">
        <f t="shared" ca="1" si="12"/>
        <v>0.5951666044690691</v>
      </c>
      <c r="G303" s="72">
        <f t="shared" ca="1" si="13"/>
        <v>0.14879165111726728</v>
      </c>
      <c r="H303">
        <f t="shared" ca="1" si="14"/>
        <v>4479.2643913881384</v>
      </c>
    </row>
    <row r="304" spans="5:8" x14ac:dyDescent="0.2">
      <c r="E304" s="2">
        <f ca="1"/>
        <v>0.7330021180259163</v>
      </c>
      <c r="F304" s="2">
        <f t="shared" ca="1" si="12"/>
        <v>0.6219180374065969</v>
      </c>
      <c r="G304" s="72">
        <f t="shared" ca="1" si="13"/>
        <v>0.15547950935164923</v>
      </c>
      <c r="H304">
        <f t="shared" ca="1" si="14"/>
        <v>4509.3214733523182</v>
      </c>
    </row>
    <row r="305" spans="5:8" x14ac:dyDescent="0.2">
      <c r="E305" s="2">
        <f ca="1"/>
        <v>0.88249433762372798</v>
      </c>
      <c r="F305" s="2">
        <f t="shared" ca="1" si="12"/>
        <v>1.1875485333862676</v>
      </c>
      <c r="G305" s="72">
        <f t="shared" ca="1" si="13"/>
        <v>0.29688713334656691</v>
      </c>
      <c r="H305">
        <f t="shared" ca="1" si="14"/>
        <v>5194.2607639543903</v>
      </c>
    </row>
    <row r="306" spans="5:8" x14ac:dyDescent="0.2">
      <c r="E306" s="2">
        <f ca="1"/>
        <v>0.5041365183296056</v>
      </c>
      <c r="F306" s="2">
        <f t="shared" ca="1" si="12"/>
        <v>1.0368899600970765E-2</v>
      </c>
      <c r="G306" s="72">
        <f t="shared" ca="1" si="13"/>
        <v>2.5922249002426913E-3</v>
      </c>
      <c r="H306">
        <f t="shared" ca="1" si="14"/>
        <v>3870.0189682140635</v>
      </c>
    </row>
    <row r="307" spans="5:8" x14ac:dyDescent="0.2">
      <c r="E307" s="2">
        <f ca="1"/>
        <v>0.84782636530654498</v>
      </c>
      <c r="F307" s="2">
        <f t="shared" ca="1" si="12"/>
        <v>1.0271554553622213</v>
      </c>
      <c r="G307" s="72">
        <f t="shared" ca="1" si="13"/>
        <v>0.25678886384055533</v>
      </c>
      <c r="H307">
        <f t="shared" ca="1" si="14"/>
        <v>4990.1004874055807</v>
      </c>
    </row>
    <row r="308" spans="5:8" x14ac:dyDescent="0.2">
      <c r="E308" s="2">
        <f ca="1"/>
        <v>0.23588282720383269</v>
      </c>
      <c r="F308" s="2">
        <f t="shared" ca="1" si="12"/>
        <v>-0.71960918627146797</v>
      </c>
      <c r="G308" s="72">
        <f t="shared" ca="1" si="13"/>
        <v>-0.17990229656786699</v>
      </c>
      <c r="H308">
        <f t="shared" ca="1" si="14"/>
        <v>3224.4580412751379</v>
      </c>
    </row>
    <row r="309" spans="5:8" x14ac:dyDescent="0.2">
      <c r="E309" s="2">
        <f ca="1"/>
        <v>0.23870591303313682</v>
      </c>
      <c r="F309" s="2">
        <f t="shared" ca="1" si="12"/>
        <v>-0.71047145517259902</v>
      </c>
      <c r="G309" s="72">
        <f t="shared" ca="1" si="13"/>
        <v>-0.17761786379314976</v>
      </c>
      <c r="H309">
        <f t="shared" ca="1" si="14"/>
        <v>3231.8325189475154</v>
      </c>
    </row>
    <row r="310" spans="5:8" x14ac:dyDescent="0.2">
      <c r="E310" s="2">
        <f ca="1"/>
        <v>0.39404033083795498</v>
      </c>
      <c r="F310" s="2">
        <f t="shared" ca="1" si="12"/>
        <v>-0.26880380946827459</v>
      </c>
      <c r="G310" s="72">
        <f t="shared" ca="1" si="13"/>
        <v>-6.7200952367068648E-2</v>
      </c>
      <c r="H310">
        <f t="shared" ca="1" si="14"/>
        <v>3609.128141440357</v>
      </c>
    </row>
    <row r="311" spans="5:8" x14ac:dyDescent="0.2">
      <c r="E311" s="2">
        <f ca="1"/>
        <v>0.50097086211348496</v>
      </c>
      <c r="F311" s="2">
        <f t="shared" ca="1" si="12"/>
        <v>2.4335928265351117E-3</v>
      </c>
      <c r="G311" s="72">
        <f t="shared" ca="1" si="13"/>
        <v>6.0839820663377792E-4</v>
      </c>
      <c r="H311">
        <f t="shared" ca="1" si="14"/>
        <v>3862.3491316088748</v>
      </c>
    </row>
    <row r="312" spans="5:8" x14ac:dyDescent="0.2">
      <c r="E312" s="2">
        <f ca="1"/>
        <v>0.77410733931290521</v>
      </c>
      <c r="F312" s="2">
        <f t="shared" ca="1" si="12"/>
        <v>0.7524419594838907</v>
      </c>
      <c r="G312" s="72">
        <f t="shared" ca="1" si="13"/>
        <v>0.18811048987097267</v>
      </c>
      <c r="H312">
        <f t="shared" ca="1" si="14"/>
        <v>4658.8921011997572</v>
      </c>
    </row>
    <row r="313" spans="5:8" x14ac:dyDescent="0.2">
      <c r="E313" s="2">
        <f ca="1"/>
        <v>0.60853652486083565</v>
      </c>
      <c r="F313" s="2">
        <f t="shared" ca="1" si="12"/>
        <v>0.27550673747809762</v>
      </c>
      <c r="G313" s="72">
        <f t="shared" ca="1" si="13"/>
        <v>6.8876684369524405E-2</v>
      </c>
      <c r="H313">
        <f t="shared" ca="1" si="14"/>
        <v>4135.2337969067721</v>
      </c>
    </row>
    <row r="314" spans="5:8" x14ac:dyDescent="0.2">
      <c r="E314" s="2">
        <f ca="1"/>
        <v>0.64817300294167324</v>
      </c>
      <c r="F314" s="2">
        <f t="shared" ca="1" si="12"/>
        <v>0.38039261718450029</v>
      </c>
      <c r="G314" s="72">
        <f t="shared" ca="1" si="13"/>
        <v>9.5098154296125073E-2</v>
      </c>
      <c r="H314">
        <f t="shared" ca="1" si="14"/>
        <v>4245.0998351245134</v>
      </c>
    </row>
    <row r="315" spans="5:8" x14ac:dyDescent="0.2">
      <c r="E315" s="2">
        <f ca="1"/>
        <v>9.3136018710182622E-2</v>
      </c>
      <c r="F315" s="2">
        <f t="shared" ca="1" si="12"/>
        <v>-1.321688086414706</v>
      </c>
      <c r="G315" s="72">
        <f t="shared" ca="1" si="13"/>
        <v>-0.33042202160367651</v>
      </c>
      <c r="H315">
        <f t="shared" ca="1" si="14"/>
        <v>2773.8747289343369</v>
      </c>
    </row>
    <row r="316" spans="5:8" x14ac:dyDescent="0.2">
      <c r="E316" s="2">
        <f ca="1"/>
        <v>0.58353569541788763</v>
      </c>
      <c r="F316" s="2">
        <f t="shared" ca="1" si="12"/>
        <v>0.21094702480311384</v>
      </c>
      <c r="G316" s="72">
        <f t="shared" ca="1" si="13"/>
        <v>5.2736756200778459E-2</v>
      </c>
      <c r="H316">
        <f t="shared" ca="1" si="14"/>
        <v>4069.0271429977902</v>
      </c>
    </row>
    <row r="317" spans="5:8" x14ac:dyDescent="0.2">
      <c r="E317" s="2">
        <f ca="1"/>
        <v>0.63833698871792621</v>
      </c>
      <c r="F317" s="2">
        <f t="shared" ca="1" si="12"/>
        <v>0.3540171607763517</v>
      </c>
      <c r="G317" s="72">
        <f t="shared" ca="1" si="13"/>
        <v>8.8504290194087926E-2</v>
      </c>
      <c r="H317">
        <f t="shared" ca="1" si="14"/>
        <v>4217.2003076454675</v>
      </c>
    </row>
    <row r="318" spans="5:8" x14ac:dyDescent="0.2">
      <c r="E318" s="2">
        <f ca="1"/>
        <v>0.19456084292688081</v>
      </c>
      <c r="F318" s="2">
        <f t="shared" ca="1" si="12"/>
        <v>-0.86121128494708166</v>
      </c>
      <c r="G318" s="72">
        <f t="shared" ca="1" si="13"/>
        <v>-0.21530282123677041</v>
      </c>
      <c r="H318">
        <f t="shared" ca="1" si="14"/>
        <v>3112.3073436106915</v>
      </c>
    </row>
    <row r="319" spans="5:8" x14ac:dyDescent="0.2">
      <c r="E319" s="2">
        <f ca="1"/>
        <v>0.34547824837019991</v>
      </c>
      <c r="F319" s="2">
        <f t="shared" ca="1" si="12"/>
        <v>-0.39755736026855676</v>
      </c>
      <c r="G319" s="72">
        <f t="shared" ca="1" si="13"/>
        <v>-9.938934006713919E-2</v>
      </c>
      <c r="H319">
        <f t="shared" ca="1" si="14"/>
        <v>3494.8059200836742</v>
      </c>
    </row>
    <row r="320" spans="5:8" x14ac:dyDescent="0.2">
      <c r="E320" s="2">
        <f ca="1"/>
        <v>0.38552818026243929</v>
      </c>
      <c r="F320" s="2">
        <f t="shared" ca="1" si="12"/>
        <v>-0.29099340877686997</v>
      </c>
      <c r="G320" s="72">
        <f t="shared" ca="1" si="13"/>
        <v>-7.2748352194217492E-2</v>
      </c>
      <c r="H320">
        <f t="shared" ca="1" si="14"/>
        <v>3589.1622950804913</v>
      </c>
    </row>
    <row r="321" spans="5:8" x14ac:dyDescent="0.2">
      <c r="E321" s="2">
        <f ca="1"/>
        <v>4.0687228537124032E-2</v>
      </c>
      <c r="F321" s="2">
        <f t="shared" ca="1" si="12"/>
        <v>-1.7427662319565886</v>
      </c>
      <c r="G321" s="72">
        <f t="shared" ca="1" si="13"/>
        <v>-0.43569155798914716</v>
      </c>
      <c r="H321">
        <f t="shared" ca="1" si="14"/>
        <v>2496.7143949672136</v>
      </c>
    </row>
    <row r="322" spans="5:8" x14ac:dyDescent="0.2">
      <c r="E322" s="2">
        <f ca="1"/>
        <v>0.88649560244103642</v>
      </c>
      <c r="F322" s="2">
        <f t="shared" ca="1" si="12"/>
        <v>1.2081000120266254</v>
      </c>
      <c r="G322" s="72">
        <f t="shared" ca="1" si="13"/>
        <v>0.30202500300665636</v>
      </c>
      <c r="H322">
        <f t="shared" ca="1" si="14"/>
        <v>5221.016874586323</v>
      </c>
    </row>
    <row r="323" spans="5:8" x14ac:dyDescent="0.2">
      <c r="E323" s="2">
        <f ca="1"/>
        <v>0.67055502262102373</v>
      </c>
      <c r="F323" s="2">
        <f t="shared" ca="1" si="12"/>
        <v>0.44144626518435176</v>
      </c>
      <c r="G323" s="72">
        <f t="shared" ca="1" si="13"/>
        <v>0.11036156629608794</v>
      </c>
      <c r="H323">
        <f t="shared" ca="1" si="14"/>
        <v>4310.3915625680174</v>
      </c>
    </row>
    <row r="324" spans="5:8" x14ac:dyDescent="0.2">
      <c r="E324" s="2">
        <f ca="1"/>
        <v>0.87233651985366034</v>
      </c>
      <c r="F324" s="2">
        <f t="shared" ca="1" si="12"/>
        <v>1.1375056589006618</v>
      </c>
      <c r="G324" s="72">
        <f t="shared" ca="1" si="13"/>
        <v>0.28437641472516545</v>
      </c>
      <c r="H324">
        <f t="shared" ca="1" si="14"/>
        <v>5129.6816370476945</v>
      </c>
    </row>
    <row r="325" spans="5:8" x14ac:dyDescent="0.2">
      <c r="E325" s="2">
        <f ca="1"/>
        <v>0.16280235203063076</v>
      </c>
      <c r="F325" s="2">
        <f t="shared" ca="1" si="12"/>
        <v>-0.98300555624183328</v>
      </c>
      <c r="G325" s="72">
        <f t="shared" ca="1" si="13"/>
        <v>-0.24575138906045832</v>
      </c>
      <c r="H325">
        <f t="shared" ca="1" si="14"/>
        <v>3018.9702439515208</v>
      </c>
    </row>
    <row r="326" spans="5:8" x14ac:dyDescent="0.2">
      <c r="E326" s="2">
        <f ca="1"/>
        <v>0.25831387779865467</v>
      </c>
      <c r="F326" s="2">
        <f t="shared" ca="1" si="12"/>
        <v>-0.64855236183372844</v>
      </c>
      <c r="G326" s="72">
        <f t="shared" ca="1" si="13"/>
        <v>-0.16213809045843211</v>
      </c>
      <c r="H326">
        <f t="shared" ca="1" si="14"/>
        <v>3282.2497708537439</v>
      </c>
    </row>
    <row r="327" spans="5:8" x14ac:dyDescent="0.2">
      <c r="E327" s="2">
        <f ca="1"/>
        <v>0.45444710765863006</v>
      </c>
      <c r="F327" s="2">
        <f t="shared" ca="1" si="12"/>
        <v>-0.11443342926887942</v>
      </c>
      <c r="G327" s="72">
        <f t="shared" ca="1" si="13"/>
        <v>-2.8608357317219855E-2</v>
      </c>
      <c r="H327">
        <f t="shared" ca="1" si="14"/>
        <v>3751.1363703080551</v>
      </c>
    </row>
    <row r="328" spans="5:8" x14ac:dyDescent="0.2">
      <c r="E328" s="2">
        <f ca="1"/>
        <v>0.22487092004332698</v>
      </c>
      <c r="F328" s="2">
        <f t="shared" ca="1" si="12"/>
        <v>-0.75584548838649157</v>
      </c>
      <c r="G328" s="72">
        <f t="shared" ca="1" si="13"/>
        <v>-0.18896137209662289</v>
      </c>
      <c r="H328">
        <f t="shared" ca="1" si="14"/>
        <v>3195.3793442623291</v>
      </c>
    </row>
    <row r="329" spans="5:8" x14ac:dyDescent="0.2">
      <c r="E329" s="2">
        <f ca="1"/>
        <v>0.7516981418380555</v>
      </c>
      <c r="F329" s="2">
        <f t="shared" ca="1" si="12"/>
        <v>0.67984325276229052</v>
      </c>
      <c r="G329" s="72">
        <f t="shared" ca="1" si="13"/>
        <v>0.16996081319057263</v>
      </c>
      <c r="H329">
        <f t="shared" ca="1" si="14"/>
        <v>4575.0974391123327</v>
      </c>
    </row>
    <row r="330" spans="5:8" x14ac:dyDescent="0.2">
      <c r="E330" s="2">
        <f ca="1"/>
        <v>0.10840756373215621</v>
      </c>
      <c r="F330" s="2">
        <f t="shared" ca="1" si="12"/>
        <v>-1.2350413172933004</v>
      </c>
      <c r="G330" s="72">
        <f t="shared" ca="1" si="13"/>
        <v>-0.30876032932332509</v>
      </c>
      <c r="H330">
        <f t="shared" ca="1" si="14"/>
        <v>2834.6170654849952</v>
      </c>
    </row>
    <row r="331" spans="5:8" x14ac:dyDescent="0.2">
      <c r="E331" s="2">
        <f ca="1"/>
        <v>0.19110299810243081</v>
      </c>
      <c r="F331" s="2">
        <f t="shared" ca="1" si="12"/>
        <v>-0.87383889359123645</v>
      </c>
      <c r="G331" s="72">
        <f t="shared" ca="1" si="13"/>
        <v>-0.21845972339780911</v>
      </c>
      <c r="H331">
        <f t="shared" ca="1" si="14"/>
        <v>3102.4975862010406</v>
      </c>
    </row>
    <row r="332" spans="5:8" x14ac:dyDescent="0.2">
      <c r="E332" s="2">
        <f ca="1"/>
        <v>5.3127432720191159E-2</v>
      </c>
      <c r="F332" s="2">
        <f t="shared" ca="1" si="12"/>
        <v>-1.6152578590850222</v>
      </c>
      <c r="G332" s="72">
        <f t="shared" ca="1" si="13"/>
        <v>-0.40381446477125554</v>
      </c>
      <c r="H332">
        <f t="shared" ca="1" si="14"/>
        <v>2577.5844964654593</v>
      </c>
    </row>
    <row r="333" spans="5:8" x14ac:dyDescent="0.2">
      <c r="E333" s="2">
        <f ca="1"/>
        <v>5.7434990018730314E-2</v>
      </c>
      <c r="F333" s="2">
        <f t="shared" ca="1" si="12"/>
        <v>-1.5766765012764996</v>
      </c>
      <c r="G333" s="72">
        <f t="shared" ca="1" si="13"/>
        <v>-0.3941691253191249</v>
      </c>
      <c r="H333">
        <f t="shared" ca="1" si="14"/>
        <v>2602.5664599818379</v>
      </c>
    </row>
    <row r="334" spans="5:8" x14ac:dyDescent="0.2">
      <c r="E334" s="2">
        <f ca="1"/>
        <v>0.42581005172361119</v>
      </c>
      <c r="F334" s="2">
        <f t="shared" ca="1" si="12"/>
        <v>-0.18705169239862723</v>
      </c>
      <c r="G334" s="72">
        <f t="shared" ca="1" si="13"/>
        <v>-4.6762923099656808E-2</v>
      </c>
      <c r="H334">
        <f t="shared" ca="1" si="14"/>
        <v>3683.6505596430097</v>
      </c>
    </row>
    <row r="335" spans="5:8" x14ac:dyDescent="0.2">
      <c r="E335" s="2">
        <f ca="1"/>
        <v>0.73965120954148977</v>
      </c>
      <c r="F335" s="2">
        <f t="shared" ca="1" si="12"/>
        <v>0.64227047528558845</v>
      </c>
      <c r="G335" s="72">
        <f t="shared" ca="1" si="13"/>
        <v>0.16056761882139711</v>
      </c>
      <c r="H335">
        <f t="shared" ca="1" si="14"/>
        <v>4532.3238643593268</v>
      </c>
    </row>
    <row r="336" spans="5:8" x14ac:dyDescent="0.2">
      <c r="E336" s="2">
        <f ca="1"/>
        <v>5.0904094393482424E-3</v>
      </c>
      <c r="F336" s="2">
        <f t="shared" ca="1" si="12"/>
        <v>-2.569626586278233</v>
      </c>
      <c r="G336" s="72">
        <f t="shared" ca="1" si="13"/>
        <v>-0.64240664656955826</v>
      </c>
      <c r="H336">
        <f t="shared" ca="1" si="14"/>
        <v>2030.4562812938627</v>
      </c>
    </row>
    <row r="337" spans="5:8" x14ac:dyDescent="0.2">
      <c r="E337" s="2">
        <f ca="1"/>
        <v>0.13364075401772557</v>
      </c>
      <c r="F337" s="2">
        <f t="shared" ca="1" si="12"/>
        <v>-1.1093447014390365</v>
      </c>
      <c r="G337" s="72">
        <f t="shared" ca="1" si="13"/>
        <v>-0.27733617535975913</v>
      </c>
      <c r="H337">
        <f t="shared" ca="1" si="14"/>
        <v>2925.1068446933641</v>
      </c>
    </row>
    <row r="338" spans="5:8" x14ac:dyDescent="0.2">
      <c r="E338" s="2">
        <f ca="1"/>
        <v>0.48125726784833067</v>
      </c>
      <c r="F338" s="2">
        <f t="shared" ca="1" si="12"/>
        <v>-4.6998358644612527E-2</v>
      </c>
      <c r="G338" s="72">
        <f t="shared" ca="1" si="13"/>
        <v>-1.1749589661153132E-2</v>
      </c>
      <c r="H338">
        <f t="shared" ca="1" si="14"/>
        <v>3814.9119854523105</v>
      </c>
    </row>
    <row r="339" spans="5:8" x14ac:dyDescent="0.2">
      <c r="E339" s="2">
        <f ca="1"/>
        <v>0.73997218130505571</v>
      </c>
      <c r="F339" s="2">
        <f t="shared" ref="F339:F402" ca="1" si="15">_xlfn.NORM.S.INV(E339)</f>
        <v>0.64325964426259463</v>
      </c>
      <c r="G339" s="72">
        <f t="shared" ref="G339:G402" ca="1" si="16">$G$12+$G$13*F339</f>
        <v>0.16081491106564866</v>
      </c>
      <c r="H339">
        <f t="shared" ref="H339:H402" ca="1" si="17">$G$11*EXP(G339)</f>
        <v>4533.4448114944726</v>
      </c>
    </row>
    <row r="340" spans="5:8" x14ac:dyDescent="0.2">
      <c r="E340" s="2">
        <f ca="1"/>
        <v>0.61601904762246251</v>
      </c>
      <c r="F340" s="2">
        <f t="shared" ca="1" si="15"/>
        <v>0.29504185716014447</v>
      </c>
      <c r="G340" s="72">
        <f t="shared" ca="1" si="16"/>
        <v>7.3760464290036118E-2</v>
      </c>
      <c r="H340">
        <f t="shared" ca="1" si="17"/>
        <v>4155.4787644346179</v>
      </c>
    </row>
    <row r="341" spans="5:8" x14ac:dyDescent="0.2">
      <c r="E341" s="2">
        <f ca="1"/>
        <v>5.5258641779146966E-2</v>
      </c>
      <c r="F341" s="2">
        <f t="shared" ca="1" si="15"/>
        <v>-1.5958724053611597</v>
      </c>
      <c r="G341" s="72">
        <f t="shared" ca="1" si="16"/>
        <v>-0.39896810134028993</v>
      </c>
      <c r="H341">
        <f t="shared" ca="1" si="17"/>
        <v>2590.1067268396587</v>
      </c>
    </row>
    <row r="342" spans="5:8" x14ac:dyDescent="0.2">
      <c r="E342" s="2">
        <f ca="1"/>
        <v>2.8928612910438023E-2</v>
      </c>
      <c r="F342" s="2">
        <f t="shared" ca="1" si="15"/>
        <v>-1.8967781383465019</v>
      </c>
      <c r="G342" s="72">
        <f t="shared" ca="1" si="16"/>
        <v>-0.47419453458662547</v>
      </c>
      <c r="H342">
        <f t="shared" ca="1" si="17"/>
        <v>2402.4105974977747</v>
      </c>
    </row>
    <row r="343" spans="5:8" x14ac:dyDescent="0.2">
      <c r="E343" s="2">
        <f ca="1"/>
        <v>0.12782837995951479</v>
      </c>
      <c r="F343" s="2">
        <f t="shared" ca="1" si="15"/>
        <v>-1.1367166421849608</v>
      </c>
      <c r="G343" s="72">
        <f t="shared" ca="1" si="16"/>
        <v>-0.28417916054624021</v>
      </c>
      <c r="H343">
        <f t="shared" ca="1" si="17"/>
        <v>2905.1587121157354</v>
      </c>
    </row>
    <row r="344" spans="5:8" x14ac:dyDescent="0.2">
      <c r="E344" s="2">
        <f ca="1"/>
        <v>7.8464164205366282E-2</v>
      </c>
      <c r="F344" s="2">
        <f t="shared" ca="1" si="15"/>
        <v>-1.4154782249516693</v>
      </c>
      <c r="G344" s="72">
        <f t="shared" ca="1" si="16"/>
        <v>-0.35386955623791733</v>
      </c>
      <c r="H344">
        <f t="shared" ca="1" si="17"/>
        <v>2709.5908001578778</v>
      </c>
    </row>
    <row r="345" spans="5:8" x14ac:dyDescent="0.2">
      <c r="E345" s="2">
        <f ca="1"/>
        <v>0.67980163188952902</v>
      </c>
      <c r="F345" s="2">
        <f t="shared" ca="1" si="15"/>
        <v>0.46714416734613756</v>
      </c>
      <c r="G345" s="72">
        <f t="shared" ca="1" si="16"/>
        <v>0.11678604183653439</v>
      </c>
      <c r="H345">
        <f t="shared" ca="1" si="17"/>
        <v>4338.1727118355266</v>
      </c>
    </row>
    <row r="346" spans="5:8" x14ac:dyDescent="0.2">
      <c r="E346" s="2">
        <f ca="1"/>
        <v>0.52456958040742219</v>
      </c>
      <c r="F346" s="2">
        <f t="shared" ca="1" si="15"/>
        <v>6.162578916710075E-2</v>
      </c>
      <c r="G346" s="72">
        <f t="shared" ca="1" si="16"/>
        <v>1.5406447291775188E-2</v>
      </c>
      <c r="H346">
        <f t="shared" ca="1" si="17"/>
        <v>3919.9293503439449</v>
      </c>
    </row>
    <row r="347" spans="5:8" x14ac:dyDescent="0.2">
      <c r="E347" s="2">
        <f ca="1"/>
        <v>0.22809124639294032</v>
      </c>
      <c r="F347" s="2">
        <f t="shared" ca="1" si="15"/>
        <v>-0.74514760556617077</v>
      </c>
      <c r="G347" s="72">
        <f t="shared" ca="1" si="16"/>
        <v>-0.18628690139154269</v>
      </c>
      <c r="H347">
        <f t="shared" ca="1" si="17"/>
        <v>3203.9367308492792</v>
      </c>
    </row>
    <row r="348" spans="5:8" x14ac:dyDescent="0.2">
      <c r="E348" s="2">
        <f ca="1"/>
        <v>0.52537097941437305</v>
      </c>
      <c r="F348" s="2">
        <f t="shared" ca="1" si="15"/>
        <v>6.3638542849086571E-2</v>
      </c>
      <c r="G348" s="72">
        <f t="shared" ca="1" si="16"/>
        <v>1.5909635712271643E-2</v>
      </c>
      <c r="H348">
        <f t="shared" ca="1" si="17"/>
        <v>3921.9023097457352</v>
      </c>
    </row>
    <row r="349" spans="5:8" x14ac:dyDescent="0.2">
      <c r="E349" s="2">
        <f ca="1"/>
        <v>0.40022330676512063</v>
      </c>
      <c r="F349" s="2">
        <f t="shared" ca="1" si="15"/>
        <v>-0.25276914339849654</v>
      </c>
      <c r="G349" s="72">
        <f t="shared" ca="1" si="16"/>
        <v>-6.3192285849624136E-2</v>
      </c>
      <c r="H349">
        <f t="shared" ca="1" si="17"/>
        <v>3623.6249696400746</v>
      </c>
    </row>
    <row r="350" spans="5:8" x14ac:dyDescent="0.2">
      <c r="E350" s="2">
        <f ca="1"/>
        <v>0.74771733898289194</v>
      </c>
      <c r="F350" s="2">
        <f t="shared" ca="1" si="15"/>
        <v>0.6673238081028452</v>
      </c>
      <c r="G350" s="72">
        <f t="shared" ca="1" si="16"/>
        <v>0.1668309520257113</v>
      </c>
      <c r="H350">
        <f t="shared" ca="1" si="17"/>
        <v>4560.800404849535</v>
      </c>
    </row>
    <row r="351" spans="5:8" x14ac:dyDescent="0.2">
      <c r="E351" s="2">
        <f ca="1"/>
        <v>0.93939649759258903</v>
      </c>
      <c r="F351" s="2">
        <f t="shared" ca="1" si="15"/>
        <v>1.5497272080974003</v>
      </c>
      <c r="G351" s="72">
        <f t="shared" ca="1" si="16"/>
        <v>0.38743180202435007</v>
      </c>
      <c r="H351">
        <f t="shared" ca="1" si="17"/>
        <v>5686.5229783895802</v>
      </c>
    </row>
    <row r="352" spans="5:8" x14ac:dyDescent="0.2">
      <c r="E352" s="2">
        <f ca="1"/>
        <v>0.55966076811814958</v>
      </c>
      <c r="F352" s="2">
        <f t="shared" ca="1" si="15"/>
        <v>0.15010919735813871</v>
      </c>
      <c r="G352" s="72">
        <f t="shared" ca="1" si="16"/>
        <v>3.7527299339534678E-2</v>
      </c>
      <c r="H352">
        <f t="shared" ca="1" si="17"/>
        <v>4007.6077122861757</v>
      </c>
    </row>
    <row r="353" spans="5:8" x14ac:dyDescent="0.2">
      <c r="E353" s="2">
        <f ca="1"/>
        <v>8.328003557846797E-2</v>
      </c>
      <c r="F353" s="2">
        <f t="shared" ca="1" si="15"/>
        <v>-1.3833418512806903</v>
      </c>
      <c r="G353" s="72">
        <f t="shared" ca="1" si="16"/>
        <v>-0.34583546282017258</v>
      </c>
      <c r="H353">
        <f t="shared" ca="1" si="17"/>
        <v>2731.4475879425559</v>
      </c>
    </row>
    <row r="354" spans="5:8" x14ac:dyDescent="0.2">
      <c r="E354" s="2">
        <f ca="1"/>
        <v>0.77410609588725943</v>
      </c>
      <c r="F354" s="2">
        <f t="shared" ca="1" si="15"/>
        <v>0.75243782281182292</v>
      </c>
      <c r="G354" s="72">
        <f t="shared" ca="1" si="16"/>
        <v>0.18810945570295573</v>
      </c>
      <c r="H354">
        <f t="shared" ca="1" si="17"/>
        <v>4658.8872831250428</v>
      </c>
    </row>
    <row r="355" spans="5:8" x14ac:dyDescent="0.2">
      <c r="E355" s="2">
        <f ca="1"/>
        <v>0.70644986559230105</v>
      </c>
      <c r="F355" s="2">
        <f t="shared" ca="1" si="15"/>
        <v>0.5430428950614713</v>
      </c>
      <c r="G355" s="72">
        <f t="shared" ca="1" si="16"/>
        <v>0.13576072376536782</v>
      </c>
      <c r="H355">
        <f t="shared" ca="1" si="17"/>
        <v>4421.2740768868171</v>
      </c>
    </row>
    <row r="356" spans="5:8" x14ac:dyDescent="0.2">
      <c r="E356" s="2">
        <f ca="1"/>
        <v>0.70346030374478796</v>
      </c>
      <c r="F356" s="2">
        <f t="shared" ca="1" si="15"/>
        <v>0.53437893140781889</v>
      </c>
      <c r="G356" s="72">
        <f t="shared" ca="1" si="16"/>
        <v>0.13359473285195472</v>
      </c>
      <c r="H356">
        <f t="shared" ca="1" si="17"/>
        <v>4411.7080011670641</v>
      </c>
    </row>
    <row r="357" spans="5:8" x14ac:dyDescent="0.2">
      <c r="E357" s="2">
        <f ca="1"/>
        <v>0.92106536091892233</v>
      </c>
      <c r="F357" s="2">
        <f t="shared" ca="1" si="15"/>
        <v>1.4122740703978576</v>
      </c>
      <c r="G357" s="72">
        <f t="shared" ca="1" si="16"/>
        <v>0.35306851759946439</v>
      </c>
      <c r="H357">
        <f t="shared" ca="1" si="17"/>
        <v>5494.434666230487</v>
      </c>
    </row>
    <row r="358" spans="5:8" x14ac:dyDescent="0.2">
      <c r="E358" s="2">
        <f ca="1"/>
        <v>0.13496981576386458</v>
      </c>
      <c r="F358" s="2">
        <f t="shared" ca="1" si="15"/>
        <v>-1.1032015888114914</v>
      </c>
      <c r="G358" s="72">
        <f t="shared" ca="1" si="16"/>
        <v>-0.27580039720287286</v>
      </c>
      <c r="H358">
        <f t="shared" ca="1" si="17"/>
        <v>2929.6026112583986</v>
      </c>
    </row>
    <row r="359" spans="5:8" x14ac:dyDescent="0.2">
      <c r="E359" s="2">
        <f ca="1"/>
        <v>0.82508290239010895</v>
      </c>
      <c r="F359" s="2">
        <f t="shared" ca="1" si="15"/>
        <v>0.93491094664489316</v>
      </c>
      <c r="G359" s="72">
        <f t="shared" ca="1" si="16"/>
        <v>0.23372773666122329</v>
      </c>
      <c r="H359">
        <f t="shared" ca="1" si="17"/>
        <v>4876.3399105855342</v>
      </c>
    </row>
    <row r="360" spans="5:8" x14ac:dyDescent="0.2">
      <c r="E360" s="2">
        <f ca="1"/>
        <v>0.78971743378383241</v>
      </c>
      <c r="F360" s="2">
        <f t="shared" ca="1" si="15"/>
        <v>0.80544118679010634</v>
      </c>
      <c r="G360" s="72">
        <f t="shared" ca="1" si="16"/>
        <v>0.20136029669752659</v>
      </c>
      <c r="H360">
        <f t="shared" ca="1" si="17"/>
        <v>4721.0322851887531</v>
      </c>
    </row>
    <row r="361" spans="5:8" x14ac:dyDescent="0.2">
      <c r="E361" s="2">
        <f ca="1"/>
        <v>0.22886075652917914</v>
      </c>
      <c r="F361" s="2">
        <f t="shared" ca="1" si="15"/>
        <v>-0.74260392244999163</v>
      </c>
      <c r="G361" s="72">
        <f t="shared" ca="1" si="16"/>
        <v>-0.18565098061249791</v>
      </c>
      <c r="H361">
        <f t="shared" ca="1" si="17"/>
        <v>3205.9748287568923</v>
      </c>
    </row>
    <row r="362" spans="5:8" x14ac:dyDescent="0.2">
      <c r="E362" s="2">
        <f ca="1"/>
        <v>0.47735117363321233</v>
      </c>
      <c r="F362" s="2">
        <f t="shared" ca="1" si="15"/>
        <v>-5.6802719906501299E-2</v>
      </c>
      <c r="G362" s="72">
        <f t="shared" ca="1" si="16"/>
        <v>-1.4200679976625325E-2</v>
      </c>
      <c r="H362">
        <f t="shared" ca="1" si="17"/>
        <v>3805.5727419707414</v>
      </c>
    </row>
    <row r="363" spans="5:8" x14ac:dyDescent="0.2">
      <c r="E363" s="2">
        <f ca="1"/>
        <v>0.23893924776480402</v>
      </c>
      <c r="F363" s="2">
        <f t="shared" ca="1" si="15"/>
        <v>-0.70971885797854417</v>
      </c>
      <c r="G363" s="72">
        <f t="shared" ca="1" si="16"/>
        <v>-0.17742971449463604</v>
      </c>
      <c r="H363">
        <f t="shared" ca="1" si="17"/>
        <v>3232.4406431761486</v>
      </c>
    </row>
    <row r="364" spans="5:8" x14ac:dyDescent="0.2">
      <c r="E364" s="2">
        <f ca="1"/>
        <v>4.0256462504478341E-2</v>
      </c>
      <c r="F364" s="2">
        <f t="shared" ca="1" si="15"/>
        <v>-1.7477176846444471</v>
      </c>
      <c r="G364" s="72">
        <f t="shared" ca="1" si="16"/>
        <v>-0.43692942116111178</v>
      </c>
      <c r="H364">
        <f t="shared" ca="1" si="17"/>
        <v>2493.6257162419915</v>
      </c>
    </row>
    <row r="365" spans="5:8" x14ac:dyDescent="0.2">
      <c r="E365" s="2">
        <f ca="1"/>
        <v>0.48129607972455135</v>
      </c>
      <c r="F365" s="2">
        <f t="shared" ca="1" si="15"/>
        <v>-4.6900964415755315E-2</v>
      </c>
      <c r="G365" s="72">
        <f t="shared" ca="1" si="16"/>
        <v>-1.1725241103938829E-2</v>
      </c>
      <c r="H365">
        <f t="shared" ca="1" si="17"/>
        <v>3815.0048741859046</v>
      </c>
    </row>
    <row r="366" spans="5:8" x14ac:dyDescent="0.2">
      <c r="E366" s="2">
        <f ca="1"/>
        <v>8.3868863324554122E-2</v>
      </c>
      <c r="F366" s="2">
        <f t="shared" ca="1" si="15"/>
        <v>-1.3795094758808886</v>
      </c>
      <c r="G366" s="72">
        <f t="shared" ca="1" si="16"/>
        <v>-0.34487736897022214</v>
      </c>
      <c r="H366">
        <f t="shared" ca="1" si="17"/>
        <v>2734.0658251362188</v>
      </c>
    </row>
    <row r="367" spans="5:8" x14ac:dyDescent="0.2">
      <c r="E367" s="2">
        <f ca="1"/>
        <v>0.58080021143270177</v>
      </c>
      <c r="F367" s="2">
        <f t="shared" ca="1" si="15"/>
        <v>0.20394103560299023</v>
      </c>
      <c r="G367" s="72">
        <f t="shared" ca="1" si="16"/>
        <v>5.0985258900747558E-2</v>
      </c>
      <c r="H367">
        <f t="shared" ca="1" si="17"/>
        <v>4061.906490665106</v>
      </c>
    </row>
    <row r="368" spans="5:8" x14ac:dyDescent="0.2">
      <c r="E368" s="2">
        <f ca="1"/>
        <v>0.80671542981513933</v>
      </c>
      <c r="F368" s="2">
        <f t="shared" ca="1" si="15"/>
        <v>0.86585598986307111</v>
      </c>
      <c r="G368" s="72">
        <f t="shared" ca="1" si="16"/>
        <v>0.21646399746576778</v>
      </c>
      <c r="H368">
        <f t="shared" ca="1" si="17"/>
        <v>4792.8785505854312</v>
      </c>
    </row>
    <row r="369" spans="5:8" x14ac:dyDescent="0.2">
      <c r="E369" s="2">
        <f ca="1"/>
        <v>0.59258616038645284</v>
      </c>
      <c r="F369" s="2">
        <f t="shared" ca="1" si="15"/>
        <v>0.23420262242893677</v>
      </c>
      <c r="G369" s="72">
        <f t="shared" ca="1" si="16"/>
        <v>5.8550655607234194E-2</v>
      </c>
      <c r="H369">
        <f t="shared" ca="1" si="17"/>
        <v>4092.7529604167207</v>
      </c>
    </row>
    <row r="370" spans="5:8" x14ac:dyDescent="0.2">
      <c r="E370" s="2">
        <f ca="1"/>
        <v>0.36486630325536873</v>
      </c>
      <c r="F370" s="2">
        <f t="shared" ca="1" si="15"/>
        <v>-0.34548124648475015</v>
      </c>
      <c r="G370" s="72">
        <f t="shared" ca="1" si="16"/>
        <v>-8.6370311621187537E-2</v>
      </c>
      <c r="H370">
        <f t="shared" ca="1" si="17"/>
        <v>3540.6023635159654</v>
      </c>
    </row>
    <row r="371" spans="5:8" x14ac:dyDescent="0.2">
      <c r="E371" s="2">
        <f ca="1"/>
        <v>0.84706303648297077</v>
      </c>
      <c r="F371" s="2">
        <f t="shared" ca="1" si="15"/>
        <v>1.0239181703841007</v>
      </c>
      <c r="G371" s="72">
        <f t="shared" ca="1" si="16"/>
        <v>0.25597954259602518</v>
      </c>
      <c r="H371">
        <f t="shared" ca="1" si="17"/>
        <v>4986.0635268880887</v>
      </c>
    </row>
    <row r="372" spans="5:8" x14ac:dyDescent="0.2">
      <c r="E372" s="2">
        <f ca="1"/>
        <v>0.10779030740343432</v>
      </c>
      <c r="F372" s="2">
        <f t="shared" ca="1" si="15"/>
        <v>-1.2383653707946236</v>
      </c>
      <c r="G372" s="72">
        <f t="shared" ca="1" si="16"/>
        <v>-0.3095913426986559</v>
      </c>
      <c r="H372">
        <f t="shared" ca="1" si="17"/>
        <v>2832.2624392880739</v>
      </c>
    </row>
    <row r="373" spans="5:8" x14ac:dyDescent="0.2">
      <c r="E373" s="2">
        <f ca="1"/>
        <v>0.14362210643653839</v>
      </c>
      <c r="F373" s="2">
        <f t="shared" ca="1" si="15"/>
        <v>-1.0641865188604824</v>
      </c>
      <c r="G373" s="72">
        <f t="shared" ca="1" si="16"/>
        <v>-0.26604662971512061</v>
      </c>
      <c r="H373">
        <f t="shared" ca="1" si="17"/>
        <v>2958.3170834548669</v>
      </c>
    </row>
    <row r="374" spans="5:8" x14ac:dyDescent="0.2">
      <c r="E374" s="2">
        <f ca="1"/>
        <v>0.45669372980902856</v>
      </c>
      <c r="F374" s="2">
        <f t="shared" ca="1" si="15"/>
        <v>-0.10876679709268773</v>
      </c>
      <c r="G374" s="72">
        <f t="shared" ca="1" si="16"/>
        <v>-2.7191699273171933E-2</v>
      </c>
      <c r="H374">
        <f t="shared" ca="1" si="17"/>
        <v>3756.4542137148187</v>
      </c>
    </row>
    <row r="375" spans="5:8" x14ac:dyDescent="0.2">
      <c r="E375" s="2">
        <f ca="1"/>
        <v>6.8062213540344807E-2</v>
      </c>
      <c r="F375" s="2">
        <f t="shared" ca="1" si="15"/>
        <v>-1.4903796998697265</v>
      </c>
      <c r="G375" s="72">
        <f t="shared" ca="1" si="16"/>
        <v>-0.37259492496743163</v>
      </c>
      <c r="H375">
        <f t="shared" ca="1" si="17"/>
        <v>2659.324806711119</v>
      </c>
    </row>
    <row r="376" spans="5:8" x14ac:dyDescent="0.2">
      <c r="E376" s="2">
        <f ca="1"/>
        <v>0.29188523441227221</v>
      </c>
      <c r="F376" s="2">
        <f t="shared" ca="1" si="15"/>
        <v>-0.54788558285792777</v>
      </c>
      <c r="G376" s="72">
        <f t="shared" ca="1" si="16"/>
        <v>-0.13697139571448194</v>
      </c>
      <c r="H376">
        <f t="shared" ca="1" si="17"/>
        <v>3365.9013506962174</v>
      </c>
    </row>
    <row r="377" spans="5:8" x14ac:dyDescent="0.2">
      <c r="E377" s="2">
        <f ca="1"/>
        <v>0.11624830866799374</v>
      </c>
      <c r="F377" s="2">
        <f t="shared" ca="1" si="15"/>
        <v>-1.193952325885512</v>
      </c>
      <c r="G377" s="72">
        <f t="shared" ca="1" si="16"/>
        <v>-0.29848808147137801</v>
      </c>
      <c r="H377">
        <f t="shared" ca="1" si="17"/>
        <v>2863.8850210335913</v>
      </c>
    </row>
    <row r="378" spans="5:8" x14ac:dyDescent="0.2">
      <c r="E378" s="2">
        <f ca="1"/>
        <v>0.74313152878849542</v>
      </c>
      <c r="F378" s="2">
        <f t="shared" ca="1" si="15"/>
        <v>0.65302999345379698</v>
      </c>
      <c r="G378" s="72">
        <f t="shared" ca="1" si="16"/>
        <v>0.16325749836344924</v>
      </c>
      <c r="H378">
        <f t="shared" ca="1" si="17"/>
        <v>4544.5316810174072</v>
      </c>
    </row>
    <row r="379" spans="5:8" x14ac:dyDescent="0.2">
      <c r="E379" s="2">
        <f ca="1"/>
        <v>0.51381796570777927</v>
      </c>
      <c r="F379" s="2">
        <f t="shared" ca="1" si="15"/>
        <v>3.4643431946476233E-2</v>
      </c>
      <c r="G379" s="72">
        <f t="shared" ca="1" si="16"/>
        <v>8.6608579866190583E-3</v>
      </c>
      <c r="H379">
        <f t="shared" ca="1" si="17"/>
        <v>3893.576100869398</v>
      </c>
    </row>
    <row r="380" spans="5:8" x14ac:dyDescent="0.2">
      <c r="E380" s="2">
        <f ca="1"/>
        <v>0.29093891102148239</v>
      </c>
      <c r="F380" s="2">
        <f t="shared" ca="1" si="15"/>
        <v>-0.55064388054584323</v>
      </c>
      <c r="G380" s="72">
        <f t="shared" ca="1" si="16"/>
        <v>-0.13766097013646081</v>
      </c>
      <c r="H380">
        <f t="shared" ca="1" si="17"/>
        <v>3363.5811112986858</v>
      </c>
    </row>
    <row r="381" spans="5:8" x14ac:dyDescent="0.2">
      <c r="E381" s="2">
        <f ca="1"/>
        <v>0.27833254330023149</v>
      </c>
      <c r="F381" s="2">
        <f t="shared" ca="1" si="15"/>
        <v>-0.58780217109036814</v>
      </c>
      <c r="G381" s="72">
        <f t="shared" ca="1" si="16"/>
        <v>-0.14695054277259204</v>
      </c>
      <c r="H381">
        <f t="shared" ca="1" si="17"/>
        <v>3332.4795639510357</v>
      </c>
    </row>
    <row r="382" spans="5:8" x14ac:dyDescent="0.2">
      <c r="E382" s="2">
        <f ca="1"/>
        <v>3.9421994991581055E-2</v>
      </c>
      <c r="F382" s="2">
        <f t="shared" ca="1" si="15"/>
        <v>-1.7574332502783259</v>
      </c>
      <c r="G382" s="72">
        <f t="shared" ca="1" si="16"/>
        <v>-0.43935831256958147</v>
      </c>
      <c r="H382">
        <f t="shared" ca="1" si="17"/>
        <v>2487.5763198014338</v>
      </c>
    </row>
    <row r="383" spans="5:8" x14ac:dyDescent="0.2">
      <c r="E383" s="2">
        <f ca="1"/>
        <v>0.13474998033236152</v>
      </c>
      <c r="F383" s="2">
        <f t="shared" ca="1" si="15"/>
        <v>-1.104214824006619</v>
      </c>
      <c r="G383" s="72">
        <f t="shared" ca="1" si="16"/>
        <v>-0.27605370600165474</v>
      </c>
      <c r="H383">
        <f t="shared" ca="1" si="17"/>
        <v>2928.8606111215818</v>
      </c>
    </row>
    <row r="384" spans="5:8" x14ac:dyDescent="0.2">
      <c r="E384" s="2">
        <f ca="1"/>
        <v>9.9961994234987195E-4</v>
      </c>
      <c r="F384" s="2">
        <f t="shared" ca="1" si="15"/>
        <v>-3.0903452000735725</v>
      </c>
      <c r="G384" s="72">
        <f t="shared" ca="1" si="16"/>
        <v>-0.77258630001839312</v>
      </c>
      <c r="H384">
        <f t="shared" ca="1" si="17"/>
        <v>1782.6141017477939</v>
      </c>
    </row>
    <row r="385" spans="5:8" x14ac:dyDescent="0.2">
      <c r="E385" s="2">
        <f ca="1"/>
        <v>0.57187926425420743</v>
      </c>
      <c r="F385" s="2">
        <f t="shared" ca="1" si="15"/>
        <v>0.18116066115253474</v>
      </c>
      <c r="G385" s="72">
        <f t="shared" ca="1" si="16"/>
        <v>4.5290165288133684E-2</v>
      </c>
      <c r="H385">
        <f t="shared" ca="1" si="17"/>
        <v>4038.8393002065177</v>
      </c>
    </row>
    <row r="386" spans="5:8" x14ac:dyDescent="0.2">
      <c r="E386" s="2">
        <f ca="1"/>
        <v>0.23461688273438086</v>
      </c>
      <c r="F386" s="2">
        <f t="shared" ca="1" si="15"/>
        <v>-0.72372632940139581</v>
      </c>
      <c r="G386" s="72">
        <f t="shared" ca="1" si="16"/>
        <v>-0.18093158235034895</v>
      </c>
      <c r="H386">
        <f t="shared" ca="1" si="17"/>
        <v>3221.1408599137103</v>
      </c>
    </row>
    <row r="387" spans="5:8" x14ac:dyDescent="0.2">
      <c r="E387" s="2">
        <f ca="1"/>
        <v>0.42480172979546271</v>
      </c>
      <c r="F387" s="2">
        <f t="shared" ca="1" si="15"/>
        <v>-0.1896244077589723</v>
      </c>
      <c r="G387" s="72">
        <f t="shared" ca="1" si="16"/>
        <v>-4.7406101939743074E-2</v>
      </c>
      <c r="H387">
        <f t="shared" ca="1" si="17"/>
        <v>3681.2820753099277</v>
      </c>
    </row>
    <row r="388" spans="5:8" x14ac:dyDescent="0.2">
      <c r="E388" s="2">
        <f ca="1"/>
        <v>0.3214594033174345</v>
      </c>
      <c r="F388" s="2">
        <f t="shared" ca="1" si="15"/>
        <v>-0.46362169698193767</v>
      </c>
      <c r="G388" s="72">
        <f t="shared" ca="1" si="16"/>
        <v>-0.11590542424548442</v>
      </c>
      <c r="H388">
        <f t="shared" ca="1" si="17"/>
        <v>3437.5594563342524</v>
      </c>
    </row>
    <row r="389" spans="5:8" x14ac:dyDescent="0.2">
      <c r="E389" s="2">
        <f ca="1"/>
        <v>0.70768525478949007</v>
      </c>
      <c r="F389" s="2">
        <f t="shared" ca="1" si="15"/>
        <v>0.54663504079601988</v>
      </c>
      <c r="G389" s="72">
        <f t="shared" ca="1" si="16"/>
        <v>0.13665876019900497</v>
      </c>
      <c r="H389">
        <f t="shared" ca="1" si="17"/>
        <v>4425.2463254359591</v>
      </c>
    </row>
    <row r="390" spans="5:8" x14ac:dyDescent="0.2">
      <c r="E390" s="2">
        <f ca="1"/>
        <v>0.39972929413255809</v>
      </c>
      <c r="F390" s="2">
        <f t="shared" ca="1" si="15"/>
        <v>-0.25404785414424613</v>
      </c>
      <c r="G390" s="72">
        <f t="shared" ca="1" si="16"/>
        <v>-6.3511963536061533E-2</v>
      </c>
      <c r="H390">
        <f t="shared" ca="1" si="17"/>
        <v>3622.4667627295794</v>
      </c>
    </row>
    <row r="391" spans="5:8" x14ac:dyDescent="0.2">
      <c r="E391" s="2">
        <f ca="1"/>
        <v>1.8963650200041204E-3</v>
      </c>
      <c r="F391" s="2">
        <f t="shared" ca="1" si="15"/>
        <v>-2.8949052424736501</v>
      </c>
      <c r="G391" s="72">
        <f t="shared" ca="1" si="16"/>
        <v>-0.72372631061841253</v>
      </c>
      <c r="H391">
        <f t="shared" ca="1" si="17"/>
        <v>1871.87550641086</v>
      </c>
    </row>
    <row r="392" spans="5:8" x14ac:dyDescent="0.2">
      <c r="E392" s="2">
        <f ca="1"/>
        <v>0.76524966335400002</v>
      </c>
      <c r="F392" s="2">
        <f t="shared" ca="1" si="15"/>
        <v>0.72329172883048132</v>
      </c>
      <c r="G392" s="72">
        <f t="shared" ca="1" si="16"/>
        <v>0.18082293220762033</v>
      </c>
      <c r="H392">
        <f t="shared" ca="1" si="17"/>
        <v>4625.0635697667403</v>
      </c>
    </row>
    <row r="393" spans="5:8" x14ac:dyDescent="0.2">
      <c r="E393" s="2">
        <f ca="1"/>
        <v>0.82449453468382217</v>
      </c>
      <c r="F393" s="2">
        <f t="shared" ca="1" si="15"/>
        <v>0.9326302085166418</v>
      </c>
      <c r="G393" s="72">
        <f t="shared" ca="1" si="16"/>
        <v>0.23315755212916045</v>
      </c>
      <c r="H393">
        <f t="shared" ca="1" si="17"/>
        <v>4873.5602895192133</v>
      </c>
    </row>
    <row r="394" spans="5:8" x14ac:dyDescent="0.2">
      <c r="E394" s="2">
        <f ca="1"/>
        <v>0.34383988539765209</v>
      </c>
      <c r="F394" s="2">
        <f t="shared" ca="1" si="15"/>
        <v>-0.40200578230240913</v>
      </c>
      <c r="G394" s="72">
        <f t="shared" ca="1" si="16"/>
        <v>-0.10050144557560228</v>
      </c>
      <c r="H394">
        <f t="shared" ca="1" si="17"/>
        <v>3490.9214875187145</v>
      </c>
    </row>
    <row r="395" spans="5:8" x14ac:dyDescent="0.2">
      <c r="E395" s="2">
        <f ca="1"/>
        <v>0.94382073291142921</v>
      </c>
      <c r="F395" s="2">
        <f t="shared" ca="1" si="15"/>
        <v>1.5876808116195862</v>
      </c>
      <c r="G395" s="72">
        <f t="shared" ca="1" si="16"/>
        <v>0.39692020290489655</v>
      </c>
      <c r="H395">
        <f t="shared" ca="1" si="17"/>
        <v>5740.7357776814551</v>
      </c>
    </row>
    <row r="396" spans="5:8" x14ac:dyDescent="0.2">
      <c r="E396" s="2">
        <f ca="1"/>
        <v>0.54670445862435235</v>
      </c>
      <c r="F396" s="2">
        <f t="shared" ca="1" si="15"/>
        <v>0.11733942679359693</v>
      </c>
      <c r="G396" s="72">
        <f t="shared" ca="1" si="16"/>
        <v>2.9334856698399234E-2</v>
      </c>
      <c r="H396">
        <f t="shared" ca="1" si="17"/>
        <v>3974.9097369985002</v>
      </c>
    </row>
    <row r="397" spans="5:8" x14ac:dyDescent="0.2">
      <c r="E397" s="2">
        <f ca="1"/>
        <v>0.12882961371297008</v>
      </c>
      <c r="F397" s="2">
        <f t="shared" ca="1" si="15"/>
        <v>-1.1319410298286643</v>
      </c>
      <c r="G397" s="72">
        <f t="shared" ca="1" si="16"/>
        <v>-0.28298525745716607</v>
      </c>
      <c r="H397">
        <f t="shared" ca="1" si="17"/>
        <v>2908.6292614139002</v>
      </c>
    </row>
    <row r="398" spans="5:8" x14ac:dyDescent="0.2">
      <c r="E398" s="2">
        <f ca="1"/>
        <v>0.82480111752753271</v>
      </c>
      <c r="F398" s="2">
        <f t="shared" ca="1" si="15"/>
        <v>0.93381803470088165</v>
      </c>
      <c r="G398" s="72">
        <f t="shared" ca="1" si="16"/>
        <v>0.23345450867522041</v>
      </c>
      <c r="H398">
        <f t="shared" ca="1" si="17"/>
        <v>4875.0077400541231</v>
      </c>
    </row>
    <row r="399" spans="5:8" x14ac:dyDescent="0.2">
      <c r="E399" s="2">
        <f ca="1"/>
        <v>0.94082267177130618</v>
      </c>
      <c r="F399" s="2">
        <f t="shared" ca="1" si="15"/>
        <v>1.5617170666266278</v>
      </c>
      <c r="G399" s="72">
        <f t="shared" ca="1" si="16"/>
        <v>0.39042926665665695</v>
      </c>
      <c r="H399">
        <f t="shared" ca="1" si="17"/>
        <v>5703.5937015611707</v>
      </c>
    </row>
    <row r="400" spans="5:8" x14ac:dyDescent="0.2">
      <c r="E400" s="2">
        <f ca="1"/>
        <v>0.86675878483807001</v>
      </c>
      <c r="F400" s="2">
        <f t="shared" ca="1" si="15"/>
        <v>1.1111996303707756</v>
      </c>
      <c r="G400" s="72">
        <f t="shared" ca="1" si="16"/>
        <v>0.27779990759269391</v>
      </c>
      <c r="H400">
        <f t="shared" ca="1" si="17"/>
        <v>5096.0569369046862</v>
      </c>
    </row>
    <row r="401" spans="5:8" x14ac:dyDescent="0.2">
      <c r="E401" s="2">
        <f ca="1"/>
        <v>4.6101492187378579E-2</v>
      </c>
      <c r="F401" s="2">
        <f t="shared" ca="1" si="15"/>
        <v>-1.683889715053134</v>
      </c>
      <c r="G401" s="72">
        <f t="shared" ca="1" si="16"/>
        <v>-0.4209724287632835</v>
      </c>
      <c r="H401">
        <f t="shared" ca="1" si="17"/>
        <v>2533.7356487017182</v>
      </c>
    </row>
    <row r="402" spans="5:8" x14ac:dyDescent="0.2">
      <c r="E402" s="2">
        <f ca="1"/>
        <v>0.15558949075547024</v>
      </c>
      <c r="F402" s="2">
        <f t="shared" ca="1" si="15"/>
        <v>-1.0127512708585322</v>
      </c>
      <c r="G402" s="72">
        <f t="shared" ca="1" si="16"/>
        <v>-0.25318781771463306</v>
      </c>
      <c r="H402">
        <f t="shared" ca="1" si="17"/>
        <v>2996.6031558266009</v>
      </c>
    </row>
    <row r="403" spans="5:8" x14ac:dyDescent="0.2">
      <c r="E403" s="2">
        <f ca="1"/>
        <v>0.36167648189943447</v>
      </c>
      <c r="F403" s="2">
        <f t="shared" ref="F403:F466" ca="1" si="18">_xlfn.NORM.S.INV(E403)</f>
        <v>-0.35398121156786733</v>
      </c>
      <c r="G403" s="72">
        <f t="shared" ref="G403:G466" ca="1" si="19">$G$12+$G$13*F403</f>
        <v>-8.8495302891966832E-2</v>
      </c>
      <c r="H403">
        <f t="shared" ref="H403:H466" ca="1" si="20">$G$11*EXP(G403)</f>
        <v>3533.0866026914391</v>
      </c>
    </row>
    <row r="404" spans="5:8" x14ac:dyDescent="0.2">
      <c r="E404" s="2">
        <f ca="1"/>
        <v>0.37884230641822914</v>
      </c>
      <c r="F404" s="2">
        <f t="shared" ca="1" si="18"/>
        <v>-0.308522722580723</v>
      </c>
      <c r="G404" s="72">
        <f t="shared" ca="1" si="19"/>
        <v>-7.7130680645180749E-2</v>
      </c>
      <c r="H404">
        <f t="shared" ca="1" si="20"/>
        <v>3573.4678213264942</v>
      </c>
    </row>
    <row r="405" spans="5:8" x14ac:dyDescent="0.2">
      <c r="E405" s="2">
        <f ca="1"/>
        <v>0.76981932102479633</v>
      </c>
      <c r="F405" s="2">
        <f t="shared" ca="1" si="18"/>
        <v>0.73825195236001417</v>
      </c>
      <c r="G405" s="72">
        <f t="shared" ca="1" si="19"/>
        <v>0.18456298809000354</v>
      </c>
      <c r="H405">
        <f t="shared" ca="1" si="20"/>
        <v>4642.393954078665</v>
      </c>
    </row>
    <row r="406" spans="5:8" x14ac:dyDescent="0.2">
      <c r="E406" s="2">
        <f ca="1"/>
        <v>0.15806560476241138</v>
      </c>
      <c r="F406" s="2">
        <f t="shared" ca="1" si="18"/>
        <v>-1.0024398380106512</v>
      </c>
      <c r="G406" s="72">
        <f t="shared" ca="1" si="19"/>
        <v>-0.25060995950266279</v>
      </c>
      <c r="H406">
        <f t="shared" ca="1" si="20"/>
        <v>3004.3379391838989</v>
      </c>
    </row>
    <row r="407" spans="5:8" x14ac:dyDescent="0.2">
      <c r="E407" s="2">
        <f ca="1"/>
        <v>0.84086373105128343</v>
      </c>
      <c r="F407" s="2">
        <f t="shared" ca="1" si="18"/>
        <v>0.99801406612175481</v>
      </c>
      <c r="G407" s="72">
        <f t="shared" ca="1" si="19"/>
        <v>0.2495035165304387</v>
      </c>
      <c r="H407">
        <f t="shared" ca="1" si="20"/>
        <v>4953.8779792315681</v>
      </c>
    </row>
    <row r="408" spans="5:8" x14ac:dyDescent="0.2">
      <c r="E408" s="2">
        <f ca="1"/>
        <v>6.2204411406022064E-2</v>
      </c>
      <c r="F408" s="2">
        <f t="shared" ca="1" si="18"/>
        <v>-1.5365284616776878</v>
      </c>
      <c r="G408" s="72">
        <f t="shared" ca="1" si="19"/>
        <v>-0.38413211541942194</v>
      </c>
      <c r="H408">
        <f t="shared" ca="1" si="20"/>
        <v>2628.8199783156733</v>
      </c>
    </row>
    <row r="409" spans="5:8" x14ac:dyDescent="0.2">
      <c r="E409" s="2">
        <f ca="1"/>
        <v>0.50001174128961101</v>
      </c>
      <c r="F409" s="2">
        <f t="shared" ca="1" si="18"/>
        <v>2.9431048523841188E-5</v>
      </c>
      <c r="G409" s="72">
        <f t="shared" ca="1" si="19"/>
        <v>7.3577621309602971E-6</v>
      </c>
      <c r="H409">
        <f t="shared" ca="1" si="20"/>
        <v>3860.0284010663099</v>
      </c>
    </row>
    <row r="410" spans="5:8" x14ac:dyDescent="0.2">
      <c r="E410" s="2">
        <f ca="1"/>
        <v>0.51131015880896369</v>
      </c>
      <c r="F410" s="2">
        <f t="shared" ca="1" si="18"/>
        <v>2.8354162664863593E-2</v>
      </c>
      <c r="G410" s="72">
        <f t="shared" ca="1" si="19"/>
        <v>7.0885406662158984E-3</v>
      </c>
      <c r="H410">
        <f t="shared" ca="1" si="20"/>
        <v>3887.4589740201623</v>
      </c>
    </row>
    <row r="411" spans="5:8" x14ac:dyDescent="0.2">
      <c r="E411" s="2">
        <f ca="1"/>
        <v>0.37039795151469757</v>
      </c>
      <c r="F411" s="2">
        <f t="shared" ca="1" si="18"/>
        <v>-0.33079954706986014</v>
      </c>
      <c r="G411" s="72">
        <f t="shared" ca="1" si="19"/>
        <v>-8.2699886767465036E-2</v>
      </c>
      <c r="H411">
        <f t="shared" ca="1" si="20"/>
        <v>3553.6217571647212</v>
      </c>
    </row>
    <row r="412" spans="5:8" x14ac:dyDescent="0.2">
      <c r="E412" s="2">
        <f ca="1"/>
        <v>0.18735927634380789</v>
      </c>
      <c r="F412" s="2">
        <f t="shared" ca="1" si="18"/>
        <v>-0.88766950759088015</v>
      </c>
      <c r="G412" s="72">
        <f t="shared" ca="1" si="19"/>
        <v>-0.22191737689772004</v>
      </c>
      <c r="H412">
        <f t="shared" ca="1" si="20"/>
        <v>3091.7887489569412</v>
      </c>
    </row>
    <row r="413" spans="5:8" x14ac:dyDescent="0.2">
      <c r="E413" s="2">
        <f ca="1"/>
        <v>0.9335720665231948</v>
      </c>
      <c r="F413" s="2">
        <f t="shared" ca="1" si="18"/>
        <v>1.5029347653041067</v>
      </c>
      <c r="G413" s="72">
        <f t="shared" ca="1" si="19"/>
        <v>0.37573369132602669</v>
      </c>
      <c r="H413">
        <f t="shared" ca="1" si="20"/>
        <v>5620.3889787027028</v>
      </c>
    </row>
    <row r="414" spans="5:8" x14ac:dyDescent="0.2">
      <c r="E414" s="2">
        <f ca="1"/>
        <v>0.48130393109562175</v>
      </c>
      <c r="F414" s="2">
        <f t="shared" ca="1" si="18"/>
        <v>-4.6881262298661332E-2</v>
      </c>
      <c r="G414" s="72">
        <f t="shared" ca="1" si="19"/>
        <v>-1.1720315574665333E-2</v>
      </c>
      <c r="H414">
        <f t="shared" ca="1" si="20"/>
        <v>3815.0236651503687</v>
      </c>
    </row>
    <row r="415" spans="5:8" x14ac:dyDescent="0.2">
      <c r="E415" s="2">
        <f ca="1"/>
        <v>0.54458118113484777</v>
      </c>
      <c r="F415" s="2">
        <f t="shared" ca="1" si="18"/>
        <v>0.11198205168582887</v>
      </c>
      <c r="G415" s="72">
        <f t="shared" ca="1" si="19"/>
        <v>2.7995512921457216E-2</v>
      </c>
      <c r="H415">
        <f t="shared" ca="1" si="20"/>
        <v>3969.5895299667359</v>
      </c>
    </row>
    <row r="416" spans="5:8" x14ac:dyDescent="0.2">
      <c r="E416" s="2">
        <f ca="1"/>
        <v>0.16848167403381176</v>
      </c>
      <c r="F416" s="2">
        <f t="shared" ca="1" si="18"/>
        <v>-0.96018254914078494</v>
      </c>
      <c r="G416" s="72">
        <f t="shared" ca="1" si="19"/>
        <v>-0.24004563728519623</v>
      </c>
      <c r="H416">
        <f t="shared" ca="1" si="20"/>
        <v>3036.2449745771301</v>
      </c>
    </row>
    <row r="417" spans="5:8" x14ac:dyDescent="0.2">
      <c r="E417" s="2">
        <f ca="1"/>
        <v>0.55059857672579438</v>
      </c>
      <c r="F417" s="2">
        <f t="shared" ca="1" si="18"/>
        <v>0.12717379369423987</v>
      </c>
      <c r="G417" s="72">
        <f t="shared" ca="1" si="19"/>
        <v>3.1793448423559967E-2</v>
      </c>
      <c r="H417">
        <f t="shared" ca="1" si="20"/>
        <v>3984.6944405529639</v>
      </c>
    </row>
    <row r="418" spans="5:8" x14ac:dyDescent="0.2">
      <c r="E418" s="2">
        <f ca="1"/>
        <v>0.99590203210324924</v>
      </c>
      <c r="F418" s="2">
        <f t="shared" ca="1" si="18"/>
        <v>2.6438897050098986</v>
      </c>
      <c r="G418" s="72">
        <f t="shared" ca="1" si="19"/>
        <v>0.66097242625247465</v>
      </c>
      <c r="H418">
        <f t="shared" ca="1" si="20"/>
        <v>7475.5643124320004</v>
      </c>
    </row>
    <row r="419" spans="5:8" x14ac:dyDescent="0.2">
      <c r="E419" s="2">
        <f ca="1"/>
        <v>0.45652665867662079</v>
      </c>
      <c r="F419" s="2">
        <f t="shared" ca="1" si="18"/>
        <v>-0.10918807648179785</v>
      </c>
      <c r="G419" s="72">
        <f t="shared" ca="1" si="19"/>
        <v>-2.7297019120449462E-2</v>
      </c>
      <c r="H419">
        <f t="shared" ca="1" si="20"/>
        <v>3756.0586053637962</v>
      </c>
    </row>
    <row r="420" spans="5:8" x14ac:dyDescent="0.2">
      <c r="E420" s="2">
        <f ca="1"/>
        <v>0.26036029568678032</v>
      </c>
      <c r="F420" s="2">
        <f t="shared" ca="1" si="18"/>
        <v>-0.64223503020770245</v>
      </c>
      <c r="G420" s="72">
        <f t="shared" ca="1" si="19"/>
        <v>-0.16055875755192561</v>
      </c>
      <c r="H420">
        <f t="shared" ca="1" si="20"/>
        <v>3287.4376315254267</v>
      </c>
    </row>
    <row r="421" spans="5:8" x14ac:dyDescent="0.2">
      <c r="E421" s="2">
        <f ca="1"/>
        <v>0.66746621078728574</v>
      </c>
      <c r="F421" s="2">
        <f t="shared" ca="1" si="18"/>
        <v>0.43292731070162477</v>
      </c>
      <c r="G421" s="72">
        <f t="shared" ca="1" si="19"/>
        <v>0.10823182767540619</v>
      </c>
      <c r="H421">
        <f t="shared" ca="1" si="20"/>
        <v>4301.2213237590186</v>
      </c>
    </row>
    <row r="422" spans="5:8" x14ac:dyDescent="0.2">
      <c r="E422" s="2">
        <f ca="1"/>
        <v>0.18501314075378184</v>
      </c>
      <c r="F422" s="2">
        <f t="shared" ca="1" si="18"/>
        <v>-0.89642413577924029</v>
      </c>
      <c r="G422" s="72">
        <f t="shared" ca="1" si="19"/>
        <v>-0.22410603394481007</v>
      </c>
      <c r="H422">
        <f t="shared" ca="1" si="20"/>
        <v>3085.0292834975558</v>
      </c>
    </row>
    <row r="423" spans="5:8" x14ac:dyDescent="0.2">
      <c r="E423" s="2">
        <f ca="1"/>
        <v>0.24792087220763914</v>
      </c>
      <c r="F423" s="2">
        <f t="shared" ca="1" si="18"/>
        <v>-0.68104701106866961</v>
      </c>
      <c r="G423" s="72">
        <f t="shared" ca="1" si="19"/>
        <v>-0.1702617527671674</v>
      </c>
      <c r="H423">
        <f t="shared" ca="1" si="20"/>
        <v>3255.6938936354622</v>
      </c>
    </row>
    <row r="424" spans="5:8" x14ac:dyDescent="0.2">
      <c r="E424" s="2">
        <f ca="1"/>
        <v>0.82135244936233587</v>
      </c>
      <c r="F424" s="2">
        <f t="shared" ca="1" si="18"/>
        <v>0.92053145888252152</v>
      </c>
      <c r="G424" s="72">
        <f t="shared" ca="1" si="19"/>
        <v>0.23013286472063038</v>
      </c>
      <c r="H424">
        <f t="shared" ca="1" si="20"/>
        <v>4858.8415640700341</v>
      </c>
    </row>
    <row r="425" spans="5:8" x14ac:dyDescent="0.2">
      <c r="E425" s="2">
        <f ca="1"/>
        <v>0.49547345532619858</v>
      </c>
      <c r="F425" s="2">
        <f t="shared" ca="1" si="18"/>
        <v>-1.1346608331862074E-2</v>
      </c>
      <c r="G425" s="72">
        <f t="shared" ca="1" si="19"/>
        <v>-2.8366520829655184E-3</v>
      </c>
      <c r="H425">
        <f t="shared" ca="1" si="20"/>
        <v>3849.0660382142532</v>
      </c>
    </row>
    <row r="426" spans="5:8" x14ac:dyDescent="0.2">
      <c r="E426" s="2">
        <f ca="1"/>
        <v>0.40888969107207607</v>
      </c>
      <c r="F426" s="2">
        <f t="shared" ca="1" si="18"/>
        <v>-0.23040203222506173</v>
      </c>
      <c r="G426" s="72">
        <f t="shared" ca="1" si="19"/>
        <v>-5.7600508056265431E-2</v>
      </c>
      <c r="H426">
        <f t="shared" ca="1" si="20"/>
        <v>3643.9442327336769</v>
      </c>
    </row>
    <row r="427" spans="5:8" x14ac:dyDescent="0.2">
      <c r="E427" s="2">
        <f ca="1"/>
        <v>1.1571316745852211E-2</v>
      </c>
      <c r="F427" s="2">
        <f t="shared" ca="1" si="18"/>
        <v>-2.2710717719712248</v>
      </c>
      <c r="G427" s="72">
        <f t="shared" ca="1" si="19"/>
        <v>-0.5677679429928062</v>
      </c>
      <c r="H427">
        <f t="shared" ca="1" si="20"/>
        <v>2187.806055358295</v>
      </c>
    </row>
    <row r="428" spans="5:8" x14ac:dyDescent="0.2">
      <c r="E428" s="2">
        <f ca="1"/>
        <v>0.68444811742060852</v>
      </c>
      <c r="F428" s="2">
        <f t="shared" ca="1" si="18"/>
        <v>0.48017387021340291</v>
      </c>
      <c r="G428" s="72">
        <f t="shared" ca="1" si="19"/>
        <v>0.12004346755335073</v>
      </c>
      <c r="H428">
        <f t="shared" ca="1" si="20"/>
        <v>4352.3270279920343</v>
      </c>
    </row>
    <row r="429" spans="5:8" x14ac:dyDescent="0.2">
      <c r="E429" s="2">
        <f ca="1"/>
        <v>0.39286183163081767</v>
      </c>
      <c r="F429" s="2">
        <f t="shared" ca="1" si="18"/>
        <v>-0.2718678098957914</v>
      </c>
      <c r="G429" s="72">
        <f t="shared" ca="1" si="19"/>
        <v>-6.796695247394785E-2</v>
      </c>
      <c r="H429">
        <f t="shared" ca="1" si="20"/>
        <v>3606.3646074670592</v>
      </c>
    </row>
    <row r="430" spans="5:8" x14ac:dyDescent="0.2">
      <c r="E430" s="2">
        <f ca="1"/>
        <v>0.84088507597042406</v>
      </c>
      <c r="F430" s="2">
        <f t="shared" ca="1" si="18"/>
        <v>0.99810210796894783</v>
      </c>
      <c r="G430" s="72">
        <f t="shared" ca="1" si="19"/>
        <v>0.24952552699223696</v>
      </c>
      <c r="H430">
        <f t="shared" ca="1" si="20"/>
        <v>4953.9870175735705</v>
      </c>
    </row>
    <row r="431" spans="5:8" x14ac:dyDescent="0.2">
      <c r="E431" s="2">
        <f ca="1"/>
        <v>0.26006952570544173</v>
      </c>
      <c r="F431" s="2">
        <f t="shared" ca="1" si="18"/>
        <v>-0.64313107626848098</v>
      </c>
      <c r="G431" s="72">
        <f t="shared" ca="1" si="19"/>
        <v>-0.16078276906712025</v>
      </c>
      <c r="H431">
        <f t="shared" ca="1" si="20"/>
        <v>3286.7012901180369</v>
      </c>
    </row>
    <row r="432" spans="5:8" x14ac:dyDescent="0.2">
      <c r="E432" s="2">
        <f ca="1"/>
        <v>0.99058135782491386</v>
      </c>
      <c r="F432" s="2">
        <f t="shared" ca="1" si="18"/>
        <v>2.3487354690323614</v>
      </c>
      <c r="G432" s="72">
        <f t="shared" ca="1" si="19"/>
        <v>0.58718386725809035</v>
      </c>
      <c r="H432">
        <f t="shared" ca="1" si="20"/>
        <v>6943.8130240456931</v>
      </c>
    </row>
    <row r="433" spans="5:8" x14ac:dyDescent="0.2">
      <c r="E433" s="2">
        <f ca="1"/>
        <v>0.35923902155040555</v>
      </c>
      <c r="F433" s="2">
        <f t="shared" ca="1" si="18"/>
        <v>-0.36049359829154004</v>
      </c>
      <c r="G433" s="72">
        <f t="shared" ca="1" si="19"/>
        <v>-9.012339957288501E-2</v>
      </c>
      <c r="H433">
        <f t="shared" ca="1" si="20"/>
        <v>3527.33907615422</v>
      </c>
    </row>
    <row r="434" spans="5:8" x14ac:dyDescent="0.2">
      <c r="E434" s="2">
        <f ca="1"/>
        <v>0.65594100949033307</v>
      </c>
      <c r="F434" s="2">
        <f t="shared" ca="1" si="18"/>
        <v>0.40141041720735265</v>
      </c>
      <c r="G434" s="72">
        <f t="shared" ca="1" si="19"/>
        <v>0.10035260430183816</v>
      </c>
      <c r="H434">
        <f t="shared" ca="1" si="20"/>
        <v>4267.4642047532425</v>
      </c>
    </row>
    <row r="435" spans="5:8" x14ac:dyDescent="0.2">
      <c r="E435" s="2">
        <f ca="1"/>
        <v>0.2613445079614678</v>
      </c>
      <c r="F435" s="2">
        <f t="shared" ca="1" si="18"/>
        <v>-0.6392058669575863</v>
      </c>
      <c r="G435" s="72">
        <f t="shared" ca="1" si="19"/>
        <v>-0.15980146673939657</v>
      </c>
      <c r="H435">
        <f t="shared" ca="1" si="20"/>
        <v>3289.9281207338186</v>
      </c>
    </row>
    <row r="436" spans="5:8" x14ac:dyDescent="0.2">
      <c r="E436" s="2">
        <f ca="1"/>
        <v>0.85328991524265452</v>
      </c>
      <c r="F436" s="2">
        <f t="shared" ca="1" si="18"/>
        <v>1.0506482553817005</v>
      </c>
      <c r="G436" s="72">
        <f t="shared" ca="1" si="19"/>
        <v>0.26266206384542512</v>
      </c>
      <c r="H436">
        <f t="shared" ca="1" si="20"/>
        <v>5019.4945798098961</v>
      </c>
    </row>
    <row r="437" spans="5:8" x14ac:dyDescent="0.2">
      <c r="E437" s="2">
        <f ca="1"/>
        <v>0.12911091707528266</v>
      </c>
      <c r="F437" s="2">
        <f t="shared" ca="1" si="18"/>
        <v>-1.1306039264567183</v>
      </c>
      <c r="G437" s="72">
        <f t="shared" ca="1" si="19"/>
        <v>-0.28265098161417956</v>
      </c>
      <c r="H437">
        <f t="shared" ca="1" si="20"/>
        <v>2909.6017084359132</v>
      </c>
    </row>
    <row r="438" spans="5:8" x14ac:dyDescent="0.2">
      <c r="E438" s="2">
        <f ca="1"/>
        <v>0.60834665095491536</v>
      </c>
      <c r="F438" s="2">
        <f t="shared" ca="1" si="18"/>
        <v>0.27501241768661089</v>
      </c>
      <c r="G438" s="72">
        <f t="shared" ca="1" si="19"/>
        <v>6.8753104421652722E-2</v>
      </c>
      <c r="H438">
        <f t="shared" ca="1" si="20"/>
        <v>4134.7227965050652</v>
      </c>
    </row>
    <row r="439" spans="5:8" x14ac:dyDescent="0.2">
      <c r="E439" s="2">
        <f ca="1"/>
        <v>0.20407194745635882</v>
      </c>
      <c r="F439" s="2">
        <f t="shared" ca="1" si="18"/>
        <v>-0.82716438525327574</v>
      </c>
      <c r="G439" s="72">
        <f t="shared" ca="1" si="19"/>
        <v>-0.20679109631331893</v>
      </c>
      <c r="H439">
        <f t="shared" ca="1" si="20"/>
        <v>3138.9115106513073</v>
      </c>
    </row>
    <row r="440" spans="5:8" x14ac:dyDescent="0.2">
      <c r="E440" s="2">
        <f ca="1"/>
        <v>0.21640491015490793</v>
      </c>
      <c r="F440" s="2">
        <f t="shared" ca="1" si="18"/>
        <v>-0.78439252986268904</v>
      </c>
      <c r="G440" s="72">
        <f t="shared" ca="1" si="19"/>
        <v>-0.19609813246567226</v>
      </c>
      <c r="H440">
        <f t="shared" ca="1" si="20"/>
        <v>3172.6558700377363</v>
      </c>
    </row>
    <row r="441" spans="5:8" x14ac:dyDescent="0.2">
      <c r="E441" s="2">
        <f ca="1"/>
        <v>0.45679250844895325</v>
      </c>
      <c r="F441" s="2">
        <f t="shared" ca="1" si="18"/>
        <v>-0.10851773020322492</v>
      </c>
      <c r="G441" s="72">
        <f t="shared" ca="1" si="19"/>
        <v>-2.7129432550806229E-2</v>
      </c>
      <c r="H441">
        <f t="shared" ca="1" si="20"/>
        <v>3756.6881230887329</v>
      </c>
    </row>
    <row r="442" spans="5:8" x14ac:dyDescent="0.2">
      <c r="E442" s="2">
        <f ca="1"/>
        <v>0.6776568383314181</v>
      </c>
      <c r="F442" s="2">
        <f t="shared" ca="1" si="18"/>
        <v>0.46115650679143461</v>
      </c>
      <c r="G442" s="72">
        <f t="shared" ca="1" si="19"/>
        <v>0.11528912669785865</v>
      </c>
      <c r="H442">
        <f t="shared" ca="1" si="20"/>
        <v>4331.6836933956502</v>
      </c>
    </row>
    <row r="443" spans="5:8" x14ac:dyDescent="0.2">
      <c r="E443" s="2">
        <f ca="1"/>
        <v>0.45242575847656497</v>
      </c>
      <c r="F443" s="2">
        <f t="shared" ca="1" si="18"/>
        <v>-0.11953499478250879</v>
      </c>
      <c r="G443" s="72">
        <f t="shared" ca="1" si="19"/>
        <v>-2.9883748695627196E-2</v>
      </c>
      <c r="H443">
        <f t="shared" ca="1" si="20"/>
        <v>3746.3552528682048</v>
      </c>
    </row>
    <row r="444" spans="5:8" x14ac:dyDescent="0.2">
      <c r="E444" s="2">
        <f ca="1"/>
        <v>0.31401534142891707</v>
      </c>
      <c r="F444" s="2">
        <f t="shared" ca="1" si="18"/>
        <v>-0.48450053766955731</v>
      </c>
      <c r="G444" s="72">
        <f t="shared" ca="1" si="19"/>
        <v>-0.12112513441738933</v>
      </c>
      <c r="H444">
        <f t="shared" ca="1" si="20"/>
        <v>3419.663139699122</v>
      </c>
    </row>
    <row r="445" spans="5:8" x14ac:dyDescent="0.2">
      <c r="E445" s="2">
        <f ca="1"/>
        <v>9.1231623330298994E-2</v>
      </c>
      <c r="F445" s="2">
        <f t="shared" ca="1" si="18"/>
        <v>-1.333208939069688</v>
      </c>
      <c r="G445" s="72">
        <f t="shared" ca="1" si="19"/>
        <v>-0.33330223476742199</v>
      </c>
      <c r="H445">
        <f t="shared" ca="1" si="20"/>
        <v>2765.8968729035682</v>
      </c>
    </row>
    <row r="446" spans="5:8" x14ac:dyDescent="0.2">
      <c r="E446" s="2">
        <f ca="1"/>
        <v>0.74348597968986851</v>
      </c>
      <c r="F446" s="2">
        <f t="shared" ca="1" si="18"/>
        <v>0.65413002244139118</v>
      </c>
      <c r="G446" s="72">
        <f t="shared" ca="1" si="19"/>
        <v>0.16353250561034779</v>
      </c>
      <c r="H446">
        <f t="shared" ca="1" si="20"/>
        <v>4545.7816320283619</v>
      </c>
    </row>
    <row r="447" spans="5:8" x14ac:dyDescent="0.2">
      <c r="E447" s="2">
        <f ca="1"/>
        <v>0.7538795429886016</v>
      </c>
      <c r="F447" s="2">
        <f t="shared" ca="1" si="18"/>
        <v>0.68674899856518534</v>
      </c>
      <c r="G447" s="72">
        <f t="shared" ca="1" si="19"/>
        <v>0.17168724964129634</v>
      </c>
      <c r="H447">
        <f t="shared" ca="1" si="20"/>
        <v>4583.002876250679</v>
      </c>
    </row>
    <row r="448" spans="5:8" x14ac:dyDescent="0.2">
      <c r="E448" s="2">
        <f ca="1"/>
        <v>0.68428164424355042</v>
      </c>
      <c r="F448" s="2">
        <f t="shared" ca="1" si="18"/>
        <v>0.47970564761332862</v>
      </c>
      <c r="G448" s="72">
        <f t="shared" ca="1" si="19"/>
        <v>0.11992641190333216</v>
      </c>
      <c r="H448">
        <f t="shared" ca="1" si="20"/>
        <v>4351.8175933393632</v>
      </c>
    </row>
    <row r="449" spans="5:8" x14ac:dyDescent="0.2">
      <c r="E449" s="2">
        <f ca="1"/>
        <v>0.30175894976862594</v>
      </c>
      <c r="F449" s="2">
        <f t="shared" ca="1" si="18"/>
        <v>-0.51934826792862643</v>
      </c>
      <c r="G449" s="72">
        <f t="shared" ca="1" si="19"/>
        <v>-0.12983706698215661</v>
      </c>
      <c r="H449">
        <f t="shared" ca="1" si="20"/>
        <v>3390.0006613966038</v>
      </c>
    </row>
    <row r="450" spans="5:8" x14ac:dyDescent="0.2">
      <c r="E450" s="2">
        <f ca="1"/>
        <v>0.93222039604406715</v>
      </c>
      <c r="F450" s="2">
        <f t="shared" ca="1" si="18"/>
        <v>1.4925340113597438</v>
      </c>
      <c r="G450" s="72">
        <f t="shared" ca="1" si="19"/>
        <v>0.37313350283993596</v>
      </c>
      <c r="H450">
        <f t="shared" ca="1" si="20"/>
        <v>5605.7938912052514</v>
      </c>
    </row>
    <row r="451" spans="5:8" x14ac:dyDescent="0.2">
      <c r="E451" s="2">
        <f ca="1"/>
        <v>0.97626481869754267</v>
      </c>
      <c r="F451" s="2">
        <f t="shared" ca="1" si="18"/>
        <v>1.9820793297473305</v>
      </c>
      <c r="G451" s="72">
        <f t="shared" ca="1" si="19"/>
        <v>0.49551983243683262</v>
      </c>
      <c r="H451">
        <f t="shared" ca="1" si="20"/>
        <v>6335.6158054881962</v>
      </c>
    </row>
    <row r="452" spans="5:8" x14ac:dyDescent="0.2">
      <c r="E452" s="2">
        <f ca="1"/>
        <v>0.60593054291198678</v>
      </c>
      <c r="F452" s="2">
        <f t="shared" ca="1" si="18"/>
        <v>0.26872811569239641</v>
      </c>
      <c r="G452" s="72">
        <f t="shared" ca="1" si="19"/>
        <v>6.7182028923099102E-2</v>
      </c>
      <c r="H452">
        <f t="shared" ca="1" si="20"/>
        <v>4128.2319349780237</v>
      </c>
    </row>
    <row r="453" spans="5:8" x14ac:dyDescent="0.2">
      <c r="E453" s="2">
        <f ca="1"/>
        <v>0.81407381764048004</v>
      </c>
      <c r="F453" s="2">
        <f t="shared" ca="1" si="18"/>
        <v>0.89300897811633118</v>
      </c>
      <c r="G453" s="72">
        <f t="shared" ca="1" si="19"/>
        <v>0.22325224452908279</v>
      </c>
      <c r="H453">
        <f t="shared" ca="1" si="20"/>
        <v>4825.5244732645888</v>
      </c>
    </row>
    <row r="454" spans="5:8" x14ac:dyDescent="0.2">
      <c r="E454" s="2">
        <f ca="1"/>
        <v>0.84464540147465494</v>
      </c>
      <c r="F454" s="2">
        <f t="shared" ca="1" si="18"/>
        <v>1.0137350448570253</v>
      </c>
      <c r="G454" s="72">
        <f t="shared" ca="1" si="19"/>
        <v>0.25343376121425631</v>
      </c>
      <c r="H454">
        <f t="shared" ca="1" si="20"/>
        <v>4973.3862428366683</v>
      </c>
    </row>
    <row r="455" spans="5:8" x14ac:dyDescent="0.2">
      <c r="E455" s="2">
        <f ca="1"/>
        <v>0.811282425262426</v>
      </c>
      <c r="F455" s="2">
        <f t="shared" ca="1" si="18"/>
        <v>0.88263196988345138</v>
      </c>
      <c r="G455" s="72">
        <f t="shared" ca="1" si="19"/>
        <v>0.22065799247086285</v>
      </c>
      <c r="H455">
        <f t="shared" ca="1" si="20"/>
        <v>4813.0220706715745</v>
      </c>
    </row>
    <row r="456" spans="5:8" x14ac:dyDescent="0.2">
      <c r="E456" s="2">
        <f ca="1"/>
        <v>0.71726942440875607</v>
      </c>
      <c r="F456" s="2">
        <f t="shared" ca="1" si="18"/>
        <v>0.57474886967834193</v>
      </c>
      <c r="G456" s="72">
        <f t="shared" ca="1" si="19"/>
        <v>0.14368721741958548</v>
      </c>
      <c r="H456">
        <f t="shared" ca="1" si="20"/>
        <v>4456.458538288095</v>
      </c>
    </row>
    <row r="457" spans="5:8" x14ac:dyDescent="0.2">
      <c r="E457" s="2">
        <f ca="1"/>
        <v>0.97442019872078878</v>
      </c>
      <c r="F457" s="2">
        <f t="shared" ca="1" si="18"/>
        <v>1.9501385921495935</v>
      </c>
      <c r="G457" s="72">
        <f t="shared" ca="1" si="19"/>
        <v>0.48753464803739838</v>
      </c>
      <c r="H457">
        <f t="shared" ca="1" si="20"/>
        <v>6285.2261979014093</v>
      </c>
    </row>
    <row r="458" spans="5:8" x14ac:dyDescent="0.2">
      <c r="E458" s="2">
        <f ca="1"/>
        <v>0.44246602343319874</v>
      </c>
      <c r="F458" s="2">
        <f t="shared" ca="1" si="18"/>
        <v>-0.14471987438021713</v>
      </c>
      <c r="G458" s="72">
        <f t="shared" ca="1" si="19"/>
        <v>-3.6179968595054283E-2</v>
      </c>
      <c r="H458">
        <f t="shared" ca="1" si="20"/>
        <v>3722.8414780018434</v>
      </c>
    </row>
    <row r="459" spans="5:8" x14ac:dyDescent="0.2">
      <c r="E459" s="2">
        <f ca="1"/>
        <v>0.89178074309169553</v>
      </c>
      <c r="F459" s="2">
        <f t="shared" ca="1" si="18"/>
        <v>1.2360539411884046</v>
      </c>
      <c r="G459" s="72">
        <f t="shared" ca="1" si="19"/>
        <v>0.30901348529710115</v>
      </c>
      <c r="H459">
        <f t="shared" ca="1" si="20"/>
        <v>5257.6316503900061</v>
      </c>
    </row>
    <row r="460" spans="5:8" x14ac:dyDescent="0.2">
      <c r="E460" s="2">
        <f ca="1"/>
        <v>0.87877943278055781</v>
      </c>
      <c r="F460" s="2">
        <f t="shared" ca="1" si="18"/>
        <v>1.168906921785025</v>
      </c>
      <c r="G460" s="72">
        <f t="shared" ca="1" si="19"/>
        <v>0.29222673044625624</v>
      </c>
      <c r="H460">
        <f t="shared" ca="1" si="20"/>
        <v>5170.1097364963389</v>
      </c>
    </row>
    <row r="461" spans="5:8" x14ac:dyDescent="0.2">
      <c r="E461" s="2">
        <f ca="1"/>
        <v>0.71760453841241278</v>
      </c>
      <c r="F461" s="2">
        <f t="shared" ca="1" si="18"/>
        <v>0.57574001625233207</v>
      </c>
      <c r="G461" s="72">
        <f t="shared" ca="1" si="19"/>
        <v>0.14393500406308302</v>
      </c>
      <c r="H461">
        <f t="shared" ca="1" si="20"/>
        <v>4457.5629260117958</v>
      </c>
    </row>
    <row r="462" spans="5:8" x14ac:dyDescent="0.2">
      <c r="E462" s="2">
        <f ca="1"/>
        <v>0.32685169604952224</v>
      </c>
      <c r="F462" s="2">
        <f t="shared" ca="1" si="18"/>
        <v>-0.44862334248584007</v>
      </c>
      <c r="G462" s="72">
        <f t="shared" ca="1" si="19"/>
        <v>-0.11215583562146002</v>
      </c>
      <c r="H462">
        <f t="shared" ca="1" si="20"/>
        <v>3450.4730854346803</v>
      </c>
    </row>
    <row r="463" spans="5:8" x14ac:dyDescent="0.2">
      <c r="E463" s="2">
        <f ca="1"/>
        <v>0.70823339090038773</v>
      </c>
      <c r="F463" s="2">
        <f t="shared" ca="1" si="18"/>
        <v>0.5482311173279909</v>
      </c>
      <c r="G463" s="72">
        <f t="shared" ca="1" si="19"/>
        <v>0.13705777933199773</v>
      </c>
      <c r="H463">
        <f t="shared" ca="1" si="20"/>
        <v>4427.0124357204786</v>
      </c>
    </row>
    <row r="464" spans="5:8" x14ac:dyDescent="0.2">
      <c r="E464" s="2">
        <f ca="1"/>
        <v>0.45664286717413738</v>
      </c>
      <c r="F464" s="2">
        <f t="shared" ca="1" si="18"/>
        <v>-0.10889504808022757</v>
      </c>
      <c r="G464" s="72">
        <f t="shared" ca="1" si="19"/>
        <v>-2.7223762020056892E-2</v>
      </c>
      <c r="H464">
        <f t="shared" ca="1" si="20"/>
        <v>3756.3337734050133</v>
      </c>
    </row>
    <row r="465" spans="5:8" x14ac:dyDescent="0.2">
      <c r="E465" s="2">
        <f ca="1"/>
        <v>0.86852926396350272</v>
      </c>
      <c r="F465" s="2">
        <f t="shared" ca="1" si="18"/>
        <v>1.1194658027944047</v>
      </c>
      <c r="G465" s="72">
        <f t="shared" ca="1" si="19"/>
        <v>0.27986645069860117</v>
      </c>
      <c r="H465">
        <f t="shared" ca="1" si="20"/>
        <v>5106.5990473460233</v>
      </c>
    </row>
    <row r="466" spans="5:8" x14ac:dyDescent="0.2">
      <c r="E466" s="2">
        <f ca="1"/>
        <v>0.46725504408521257</v>
      </c>
      <c r="F466" s="2">
        <f t="shared" ca="1" si="18"/>
        <v>-8.2171812273423309E-2</v>
      </c>
      <c r="G466" s="72">
        <f t="shared" ca="1" si="19"/>
        <v>-2.0542953068355827E-2</v>
      </c>
      <c r="H466">
        <f t="shared" ca="1" si="20"/>
        <v>3781.5131373109321</v>
      </c>
    </row>
    <row r="467" spans="5:8" x14ac:dyDescent="0.2">
      <c r="E467" s="2">
        <f ca="1"/>
        <v>0.29249792904101946</v>
      </c>
      <c r="F467" s="2">
        <f t="shared" ref="F467:F530" ca="1" si="21">_xlfn.NORM.S.INV(E467)</f>
        <v>-0.54610195200617095</v>
      </c>
      <c r="G467" s="72">
        <f t="shared" ref="G467:G530" ca="1" si="22">$G$12+$G$13*F467</f>
        <v>-0.13652548800154274</v>
      </c>
      <c r="H467">
        <f t="shared" ref="H467:H530" ca="1" si="23">$G$11*EXP(G467)</f>
        <v>3367.4025667465189</v>
      </c>
    </row>
    <row r="468" spans="5:8" x14ac:dyDescent="0.2">
      <c r="E468" s="2">
        <f ca="1"/>
        <v>0.12437529011970994</v>
      </c>
      <c r="F468" s="2">
        <f t="shared" ca="1" si="21"/>
        <v>-1.1533894245278984</v>
      </c>
      <c r="G468" s="72">
        <f t="shared" ca="1" si="22"/>
        <v>-0.2883473561319746</v>
      </c>
      <c r="H468">
        <f t="shared" ca="1" si="23"/>
        <v>2893.0746442707259</v>
      </c>
    </row>
    <row r="469" spans="5:8" x14ac:dyDescent="0.2">
      <c r="E469" s="2">
        <f ca="1"/>
        <v>0.74301681838820843</v>
      </c>
      <c r="F469" s="2">
        <f t="shared" ca="1" si="21"/>
        <v>0.6526741620094566</v>
      </c>
      <c r="G469" s="72">
        <f t="shared" ca="1" si="22"/>
        <v>0.16316854050236415</v>
      </c>
      <c r="H469">
        <f t="shared" ca="1" si="23"/>
        <v>4544.127427180475</v>
      </c>
    </row>
    <row r="470" spans="5:8" x14ac:dyDescent="0.2">
      <c r="E470" s="2">
        <f ca="1"/>
        <v>0.68780359259004409</v>
      </c>
      <c r="F470" s="2">
        <f t="shared" ca="1" si="21"/>
        <v>0.48963413831035207</v>
      </c>
      <c r="G470" s="72">
        <f t="shared" ca="1" si="22"/>
        <v>0.12240853457758802</v>
      </c>
      <c r="H470">
        <f t="shared" ca="1" si="23"/>
        <v>4362.6327551886188</v>
      </c>
    </row>
    <row r="471" spans="5:8" x14ac:dyDescent="0.2">
      <c r="E471" s="2">
        <f ca="1"/>
        <v>0.89343414878836747</v>
      </c>
      <c r="F471" s="2">
        <f t="shared" ca="1" si="21"/>
        <v>1.2450001300709119</v>
      </c>
      <c r="G471" s="72">
        <f t="shared" ca="1" si="22"/>
        <v>0.31125003251772798</v>
      </c>
      <c r="H471">
        <f t="shared" ca="1" si="23"/>
        <v>5269.4037513674821</v>
      </c>
    </row>
    <row r="472" spans="5:8" x14ac:dyDescent="0.2">
      <c r="E472" s="2">
        <f ca="1"/>
        <v>0.58854572409073391</v>
      </c>
      <c r="F472" s="2">
        <f t="shared" ca="1" si="21"/>
        <v>0.22380562635188023</v>
      </c>
      <c r="G472" s="72">
        <f t="shared" ca="1" si="22"/>
        <v>5.5951406587970057E-2</v>
      </c>
      <c r="H472">
        <f t="shared" ca="1" si="23"/>
        <v>4082.1286898422509</v>
      </c>
    </row>
    <row r="473" spans="5:8" x14ac:dyDescent="0.2">
      <c r="E473" s="2">
        <f ca="1"/>
        <v>0.22822597311087978</v>
      </c>
      <c r="F473" s="2">
        <f t="shared" ca="1" si="21"/>
        <v>-0.74470190676140291</v>
      </c>
      <c r="G473" s="72">
        <f t="shared" ca="1" si="22"/>
        <v>-0.18617547669035073</v>
      </c>
      <c r="H473">
        <f t="shared" ca="1" si="23"/>
        <v>3204.293748432071</v>
      </c>
    </row>
    <row r="474" spans="5:8" x14ac:dyDescent="0.2">
      <c r="E474" s="2">
        <f ca="1"/>
        <v>0.45294010324119971</v>
      </c>
      <c r="F474" s="2">
        <f t="shared" ca="1" si="21"/>
        <v>-0.1182365801229625</v>
      </c>
      <c r="G474" s="72">
        <f t="shared" ca="1" si="22"/>
        <v>-2.9559145030740624E-2</v>
      </c>
      <c r="H474">
        <f t="shared" ca="1" si="23"/>
        <v>3747.5715309067273</v>
      </c>
    </row>
    <row r="475" spans="5:8" x14ac:dyDescent="0.2">
      <c r="E475" s="2">
        <f ca="1"/>
        <v>0.91967564887963738</v>
      </c>
      <c r="F475" s="2">
        <f t="shared" ca="1" si="21"/>
        <v>1.4028931553772543</v>
      </c>
      <c r="G475" s="72">
        <f t="shared" ca="1" si="22"/>
        <v>0.35072328884431359</v>
      </c>
      <c r="H475">
        <f t="shared" ca="1" si="23"/>
        <v>5481.5640582170827</v>
      </c>
    </row>
    <row r="476" spans="5:8" x14ac:dyDescent="0.2">
      <c r="E476" s="2">
        <f ca="1"/>
        <v>0.11069534123984703</v>
      </c>
      <c r="F476" s="2">
        <f t="shared" ca="1" si="21"/>
        <v>-1.222838548550047</v>
      </c>
      <c r="G476" s="72">
        <f t="shared" ca="1" si="22"/>
        <v>-0.30570963713751176</v>
      </c>
      <c r="H476">
        <f t="shared" ca="1" si="23"/>
        <v>2843.2778135377171</v>
      </c>
    </row>
    <row r="477" spans="5:8" x14ac:dyDescent="0.2">
      <c r="E477" s="2">
        <f ca="1"/>
        <v>0.11280088101813557</v>
      </c>
      <c r="F477" s="2">
        <f t="shared" ca="1" si="21"/>
        <v>-1.2117665344551116</v>
      </c>
      <c r="G477" s="72">
        <f t="shared" ca="1" si="22"/>
        <v>-0.30294163361377791</v>
      </c>
      <c r="H477">
        <f t="shared" ca="1" si="23"/>
        <v>2851.1589189763736</v>
      </c>
    </row>
    <row r="478" spans="5:8" x14ac:dyDescent="0.2">
      <c r="E478" s="2">
        <f ca="1"/>
        <v>0.3077552180059091</v>
      </c>
      <c r="F478" s="2">
        <f t="shared" ca="1" si="21"/>
        <v>-0.50222332682176452</v>
      </c>
      <c r="G478" s="72">
        <f t="shared" ca="1" si="22"/>
        <v>-0.12555583170544113</v>
      </c>
      <c r="H478">
        <f t="shared" ca="1" si="23"/>
        <v>3404.5451638192121</v>
      </c>
    </row>
    <row r="479" spans="5:8" x14ac:dyDescent="0.2">
      <c r="E479" s="2">
        <f ca="1"/>
        <v>0.53449627169237646</v>
      </c>
      <c r="F479" s="2">
        <f t="shared" ca="1" si="21"/>
        <v>8.6577367297830554E-2</v>
      </c>
      <c r="G479" s="72">
        <f t="shared" ca="1" si="22"/>
        <v>2.1644341824457639E-2</v>
      </c>
      <c r="H479">
        <f t="shared" ca="1" si="23"/>
        <v>3944.4578798606199</v>
      </c>
    </row>
    <row r="480" spans="5:8" x14ac:dyDescent="0.2">
      <c r="E480" s="2">
        <f ca="1"/>
        <v>0.62638064782024605</v>
      </c>
      <c r="F480" s="2">
        <f t="shared" ca="1" si="21"/>
        <v>0.32228248031158546</v>
      </c>
      <c r="G480" s="72">
        <f t="shared" ca="1" si="22"/>
        <v>8.0570620077896365E-2</v>
      </c>
      <c r="H480">
        <f t="shared" ca="1" si="23"/>
        <v>4183.874803170941</v>
      </c>
    </row>
    <row r="481" spans="5:8" x14ac:dyDescent="0.2">
      <c r="E481" s="2">
        <f ca="1"/>
        <v>0.52696008708740294</v>
      </c>
      <c r="F481" s="2">
        <f t="shared" ca="1" si="21"/>
        <v>6.7630436766095717E-2</v>
      </c>
      <c r="G481" s="72">
        <f t="shared" ca="1" si="22"/>
        <v>1.6907609191523929E-2</v>
      </c>
      <c r="H481">
        <f t="shared" ca="1" si="23"/>
        <v>3925.8182179003188</v>
      </c>
    </row>
    <row r="482" spans="5:8" x14ac:dyDescent="0.2">
      <c r="E482" s="2">
        <f ca="1"/>
        <v>0.61742961184308021</v>
      </c>
      <c r="F482" s="2">
        <f t="shared" ca="1" si="21"/>
        <v>0.29873693081887653</v>
      </c>
      <c r="G482" s="72">
        <f t="shared" ca="1" si="22"/>
        <v>7.4684232704719133E-2</v>
      </c>
      <c r="H482">
        <f t="shared" ca="1" si="23"/>
        <v>4159.3192380460932</v>
      </c>
    </row>
    <row r="483" spans="5:8" x14ac:dyDescent="0.2">
      <c r="E483" s="2">
        <f ca="1"/>
        <v>0.56623271071921488</v>
      </c>
      <c r="F483" s="2">
        <f t="shared" ca="1" si="21"/>
        <v>0.16679090072963862</v>
      </c>
      <c r="G483" s="72">
        <f t="shared" ca="1" si="22"/>
        <v>4.1697725182409655E-2</v>
      </c>
      <c r="H483">
        <f t="shared" ca="1" si="23"/>
        <v>4024.3560426178819</v>
      </c>
    </row>
    <row r="484" spans="5:8" x14ac:dyDescent="0.2">
      <c r="E484" s="2">
        <f ca="1"/>
        <v>0.84485955241891042</v>
      </c>
      <c r="F484" s="2">
        <f t="shared" ca="1" si="21"/>
        <v>1.014632806105779</v>
      </c>
      <c r="G484" s="72">
        <f t="shared" ca="1" si="22"/>
        <v>0.25365820152644475</v>
      </c>
      <c r="H484">
        <f t="shared" ca="1" si="23"/>
        <v>4974.5025964703364</v>
      </c>
    </row>
    <row r="485" spans="5:8" x14ac:dyDescent="0.2">
      <c r="E485" s="2">
        <f ca="1"/>
        <v>0.55162350542950356</v>
      </c>
      <c r="F485" s="2">
        <f t="shared" ca="1" si="21"/>
        <v>0.12976419809405793</v>
      </c>
      <c r="G485" s="72">
        <f t="shared" ca="1" si="22"/>
        <v>3.2441049523514481E-2</v>
      </c>
      <c r="H485">
        <f t="shared" ca="1" si="23"/>
        <v>3987.2757688009401</v>
      </c>
    </row>
    <row r="486" spans="5:8" x14ac:dyDescent="0.2">
      <c r="E486" s="2">
        <f ca="1"/>
        <v>0.88248824641578349</v>
      </c>
      <c r="F486" s="2">
        <f t="shared" ca="1" si="21"/>
        <v>1.1875176288692977</v>
      </c>
      <c r="G486" s="72">
        <f t="shared" ca="1" si="22"/>
        <v>0.29687940721732442</v>
      </c>
      <c r="H486">
        <f t="shared" ca="1" si="23"/>
        <v>5194.2206325794377</v>
      </c>
    </row>
    <row r="487" spans="5:8" x14ac:dyDescent="0.2">
      <c r="E487" s="2">
        <f ca="1"/>
        <v>0.45601499629552444</v>
      </c>
      <c r="F487" s="2">
        <f t="shared" ca="1" si="21"/>
        <v>-0.11047838324051279</v>
      </c>
      <c r="G487" s="72">
        <f t="shared" ca="1" si="22"/>
        <v>-2.7619595810128197E-2</v>
      </c>
      <c r="H487">
        <f t="shared" ca="1" si="23"/>
        <v>3754.8471838113205</v>
      </c>
    </row>
    <row r="488" spans="5:8" x14ac:dyDescent="0.2">
      <c r="E488" s="2">
        <f ca="1"/>
        <v>0.14347964566273785</v>
      </c>
      <c r="F488" s="2">
        <f t="shared" ca="1" si="21"/>
        <v>-1.0648158053261234</v>
      </c>
      <c r="G488" s="72">
        <f t="shared" ca="1" si="22"/>
        <v>-0.26620395133153085</v>
      </c>
      <c r="H488">
        <f t="shared" ca="1" si="23"/>
        <v>2957.8517128368321</v>
      </c>
    </row>
    <row r="489" spans="5:8" x14ac:dyDescent="0.2">
      <c r="E489" s="2">
        <f ca="1"/>
        <v>0.37511103238351828</v>
      </c>
      <c r="F489" s="2">
        <f t="shared" ca="1" si="21"/>
        <v>-0.31834656702674452</v>
      </c>
      <c r="G489" s="72">
        <f t="shared" ca="1" si="22"/>
        <v>-7.958664175668613E-2</v>
      </c>
      <c r="H489">
        <f t="shared" ca="1" si="23"/>
        <v>3564.7022916300816</v>
      </c>
    </row>
    <row r="490" spans="5:8" x14ac:dyDescent="0.2">
      <c r="E490" s="2">
        <f ca="1"/>
        <v>0.58980384497295546</v>
      </c>
      <c r="F490" s="2">
        <f t="shared" ca="1" si="21"/>
        <v>0.22704042266179295</v>
      </c>
      <c r="G490" s="72">
        <f t="shared" ca="1" si="22"/>
        <v>5.6760105665448236E-2</v>
      </c>
      <c r="H490">
        <f t="shared" ca="1" si="23"/>
        <v>4085.4312387520154</v>
      </c>
    </row>
    <row r="491" spans="5:8" x14ac:dyDescent="0.2">
      <c r="E491" s="2">
        <f ca="1"/>
        <v>0.35139086059868663</v>
      </c>
      <c r="F491" s="2">
        <f t="shared" ca="1" si="21"/>
        <v>-0.38156813824230523</v>
      </c>
      <c r="G491" s="72">
        <f t="shared" ca="1" si="22"/>
        <v>-9.5392034560576308E-2</v>
      </c>
      <c r="H491">
        <f t="shared" ca="1" si="23"/>
        <v>3508.803685065368</v>
      </c>
    </row>
    <row r="492" spans="5:8" x14ac:dyDescent="0.2">
      <c r="E492" s="2">
        <f ca="1"/>
        <v>0.13170211882814198</v>
      </c>
      <c r="F492" s="2">
        <f t="shared" ca="1" si="21"/>
        <v>-1.1183811590730151</v>
      </c>
      <c r="G492" s="72">
        <f t="shared" ca="1" si="22"/>
        <v>-0.27959528976825376</v>
      </c>
      <c r="H492">
        <f t="shared" ca="1" si="23"/>
        <v>2918.5061523410036</v>
      </c>
    </row>
    <row r="493" spans="5:8" x14ac:dyDescent="0.2">
      <c r="E493" s="2">
        <f ca="1"/>
        <v>0.3879202372567121</v>
      </c>
      <c r="F493" s="2">
        <f t="shared" ca="1" si="21"/>
        <v>-0.28474374387112522</v>
      </c>
      <c r="G493" s="72">
        <f t="shared" ca="1" si="22"/>
        <v>-7.1185935967781305E-2</v>
      </c>
      <c r="H493">
        <f t="shared" ca="1" si="23"/>
        <v>3594.7744436039252</v>
      </c>
    </row>
    <row r="494" spans="5:8" x14ac:dyDescent="0.2">
      <c r="E494" s="2">
        <f ca="1"/>
        <v>1.0439278134618313E-2</v>
      </c>
      <c r="F494" s="2">
        <f t="shared" ca="1" si="21"/>
        <v>-2.310173396559918</v>
      </c>
      <c r="G494" s="72">
        <f t="shared" ca="1" si="22"/>
        <v>-0.57754334913997951</v>
      </c>
      <c r="H494">
        <f t="shared" ca="1" si="23"/>
        <v>2166.5235546170425</v>
      </c>
    </row>
    <row r="495" spans="5:8" x14ac:dyDescent="0.2">
      <c r="E495" s="2">
        <f ca="1"/>
        <v>0.34173455610701575</v>
      </c>
      <c r="F495" s="2">
        <f t="shared" ca="1" si="21"/>
        <v>-0.4077338104272949</v>
      </c>
      <c r="G495" s="72">
        <f t="shared" ca="1" si="22"/>
        <v>-0.10193345260682372</v>
      </c>
      <c r="H495">
        <f t="shared" ca="1" si="23"/>
        <v>3485.9260410140619</v>
      </c>
    </row>
    <row r="496" spans="5:8" x14ac:dyDescent="0.2">
      <c r="E496" s="2">
        <f ca="1"/>
        <v>0.22764731322318843</v>
      </c>
      <c r="F496" s="2">
        <f t="shared" ca="1" si="21"/>
        <v>-0.74661726049159827</v>
      </c>
      <c r="G496" s="72">
        <f t="shared" ca="1" si="22"/>
        <v>-0.18665431512289957</v>
      </c>
      <c r="H496">
        <f t="shared" ca="1" si="23"/>
        <v>3202.7597767277593</v>
      </c>
    </row>
    <row r="497" spans="5:8" x14ac:dyDescent="0.2">
      <c r="E497" s="2">
        <f ca="1"/>
        <v>0.77890975128447137</v>
      </c>
      <c r="F497" s="2">
        <f t="shared" ca="1" si="21"/>
        <v>0.76851632212943721</v>
      </c>
      <c r="G497" s="72">
        <f t="shared" ca="1" si="22"/>
        <v>0.1921290805323593</v>
      </c>
      <c r="H497">
        <f t="shared" ca="1" si="23"/>
        <v>4677.6519503211184</v>
      </c>
    </row>
    <row r="498" spans="5:8" x14ac:dyDescent="0.2">
      <c r="E498" s="2">
        <f ca="1"/>
        <v>0.47457769511921488</v>
      </c>
      <c r="F498" s="2">
        <f t="shared" ca="1" si="21"/>
        <v>-6.3767458022846266E-2</v>
      </c>
      <c r="G498" s="72">
        <f t="shared" ca="1" si="22"/>
        <v>-1.5941864505711566E-2</v>
      </c>
      <c r="H498">
        <f t="shared" ca="1" si="23"/>
        <v>3798.9523029637085</v>
      </c>
    </row>
    <row r="499" spans="5:8" x14ac:dyDescent="0.2">
      <c r="E499" s="2">
        <f ca="1"/>
        <v>0.53385375844432481</v>
      </c>
      <c r="F499" s="2">
        <f t="shared" ca="1" si="21"/>
        <v>8.4960890491301164E-2</v>
      </c>
      <c r="G499" s="72">
        <f t="shared" ca="1" si="22"/>
        <v>2.1240222622825291E-2</v>
      </c>
      <c r="H499">
        <f t="shared" ca="1" si="23"/>
        <v>3942.8641707372567</v>
      </c>
    </row>
    <row r="500" spans="5:8" x14ac:dyDescent="0.2">
      <c r="E500" s="2">
        <f ca="1"/>
        <v>0.18354991183925762</v>
      </c>
      <c r="F500" s="2">
        <f t="shared" ca="1" si="21"/>
        <v>-0.90191913897764753</v>
      </c>
      <c r="G500" s="72">
        <f t="shared" ca="1" si="22"/>
        <v>-0.22547978474441188</v>
      </c>
      <c r="H500">
        <f t="shared" ca="1" si="23"/>
        <v>3080.7941317401574</v>
      </c>
    </row>
    <row r="501" spans="5:8" x14ac:dyDescent="0.2">
      <c r="E501" s="2">
        <f ca="1"/>
        <v>0.67275839714631269</v>
      </c>
      <c r="F501" s="2">
        <f t="shared" ca="1" si="21"/>
        <v>0.44754278158901267</v>
      </c>
      <c r="G501" s="72">
        <f t="shared" ca="1" si="22"/>
        <v>0.11188569539725317</v>
      </c>
      <c r="H501">
        <f t="shared" ca="1" si="23"/>
        <v>4316.9661647845114</v>
      </c>
    </row>
    <row r="502" spans="5:8" x14ac:dyDescent="0.2">
      <c r="E502" s="2">
        <f ca="1"/>
        <v>0.69698009968820163</v>
      </c>
      <c r="F502" s="2">
        <f t="shared" ca="1" si="21"/>
        <v>0.51573457822202406</v>
      </c>
      <c r="G502" s="72">
        <f t="shared" ca="1" si="22"/>
        <v>0.12893364455550602</v>
      </c>
      <c r="H502">
        <f t="shared" ca="1" si="23"/>
        <v>4391.1924900826625</v>
      </c>
    </row>
    <row r="503" spans="5:8" x14ac:dyDescent="0.2">
      <c r="E503" s="2">
        <f ca="1"/>
        <v>0.35850943759858334</v>
      </c>
      <c r="F503" s="2">
        <f t="shared" ca="1" si="21"/>
        <v>-0.36244585895814391</v>
      </c>
      <c r="G503" s="72">
        <f t="shared" ca="1" si="22"/>
        <v>-9.0611464739535977E-2</v>
      </c>
      <c r="H503">
        <f t="shared" ca="1" si="23"/>
        <v>3525.6179248713424</v>
      </c>
    </row>
    <row r="504" spans="5:8" x14ac:dyDescent="0.2">
      <c r="E504" s="2">
        <f ca="1"/>
        <v>0.8870954232832573</v>
      </c>
      <c r="F504" s="2">
        <f t="shared" ca="1" si="21"/>
        <v>1.2112250793212491</v>
      </c>
      <c r="G504" s="72">
        <f t="shared" ca="1" si="22"/>
        <v>0.30280626983031228</v>
      </c>
      <c r="H504">
        <f t="shared" ca="1" si="23"/>
        <v>5225.0974756677488</v>
      </c>
    </row>
    <row r="505" spans="5:8" x14ac:dyDescent="0.2">
      <c r="E505" s="2">
        <f ca="1"/>
        <v>0.45745706672199815</v>
      </c>
      <c r="F505" s="2">
        <f t="shared" ca="1" si="21"/>
        <v>-0.10684224394171396</v>
      </c>
      <c r="G505" s="72">
        <f t="shared" ca="1" si="22"/>
        <v>-2.671056098542849E-2</v>
      </c>
      <c r="H505">
        <f t="shared" ca="1" si="23"/>
        <v>3758.2620225313362</v>
      </c>
    </row>
    <row r="506" spans="5:8" x14ac:dyDescent="0.2">
      <c r="E506" s="2">
        <f ca="1"/>
        <v>6.0919240113860518E-2</v>
      </c>
      <c r="F506" s="2">
        <f t="shared" ca="1" si="21"/>
        <v>-1.547102711453443</v>
      </c>
      <c r="G506" s="72">
        <f t="shared" ca="1" si="22"/>
        <v>-0.38677567786336076</v>
      </c>
      <c r="H506">
        <f t="shared" ca="1" si="23"/>
        <v>2621.8797061123914</v>
      </c>
    </row>
    <row r="507" spans="5:8" x14ac:dyDescent="0.2">
      <c r="E507" s="2">
        <f ca="1"/>
        <v>0.17861829330178702</v>
      </c>
      <c r="F507" s="2">
        <f t="shared" ca="1" si="21"/>
        <v>-0.92064349368119547</v>
      </c>
      <c r="G507" s="72">
        <f t="shared" ca="1" si="22"/>
        <v>-0.23016087342029887</v>
      </c>
      <c r="H507">
        <f t="shared" ca="1" si="23"/>
        <v>3066.4063627014543</v>
      </c>
    </row>
    <row r="508" spans="5:8" x14ac:dyDescent="0.2">
      <c r="E508" s="2">
        <f ca="1"/>
        <v>0.48950569405773092</v>
      </c>
      <c r="F508" s="2">
        <f t="shared" ca="1" si="21"/>
        <v>-2.6308358481965857E-2</v>
      </c>
      <c r="G508" s="72">
        <f t="shared" ca="1" si="22"/>
        <v>-6.5770896204914641E-3</v>
      </c>
      <c r="H508">
        <f t="shared" ca="1" si="23"/>
        <v>3834.6957394773253</v>
      </c>
    </row>
    <row r="509" spans="5:8" x14ac:dyDescent="0.2">
      <c r="E509" s="2">
        <f ca="1"/>
        <v>0.88258382068333208</v>
      </c>
      <c r="F509" s="2">
        <f t="shared" ca="1" si="21"/>
        <v>1.1880026678353606</v>
      </c>
      <c r="G509" s="72">
        <f t="shared" ca="1" si="22"/>
        <v>0.29700066695884014</v>
      </c>
      <c r="H509">
        <f t="shared" ca="1" si="23"/>
        <v>5194.8505206199789</v>
      </c>
    </row>
    <row r="510" spans="5:8" x14ac:dyDescent="0.2">
      <c r="E510" s="2">
        <f ca="1"/>
        <v>0.47629609928615912</v>
      </c>
      <c r="F510" s="2">
        <f t="shared" ca="1" si="21"/>
        <v>-5.9451871542735499E-2</v>
      </c>
      <c r="G510" s="72">
        <f t="shared" ca="1" si="22"/>
        <v>-1.4862967885683875E-2</v>
      </c>
      <c r="H510">
        <f t="shared" ca="1" si="23"/>
        <v>3803.0531915826655</v>
      </c>
    </row>
    <row r="511" spans="5:8" x14ac:dyDescent="0.2">
      <c r="E511" s="2">
        <f ca="1"/>
        <v>0.12703966256232757</v>
      </c>
      <c r="F511" s="2">
        <f t="shared" ca="1" si="21"/>
        <v>-1.1404969440715189</v>
      </c>
      <c r="G511" s="72">
        <f t="shared" ca="1" si="22"/>
        <v>-0.28512423601787973</v>
      </c>
      <c r="H511">
        <f t="shared" ca="1" si="23"/>
        <v>2902.4144148639643</v>
      </c>
    </row>
    <row r="512" spans="5:8" x14ac:dyDescent="0.2">
      <c r="E512" s="2">
        <f ca="1"/>
        <v>0.94888643947502915</v>
      </c>
      <c r="F512" s="2">
        <f t="shared" ca="1" si="21"/>
        <v>1.6341511301127269</v>
      </c>
      <c r="G512" s="72">
        <f t="shared" ca="1" si="22"/>
        <v>0.40853778252818174</v>
      </c>
      <c r="H512">
        <f t="shared" ca="1" si="23"/>
        <v>5807.8181455530166</v>
      </c>
    </row>
    <row r="513" spans="5:8" x14ac:dyDescent="0.2">
      <c r="E513" s="2">
        <f ca="1"/>
        <v>0.84155309113202081</v>
      </c>
      <c r="F513" s="2">
        <f t="shared" ca="1" si="21"/>
        <v>1.000861405185711</v>
      </c>
      <c r="G513" s="72">
        <f t="shared" ca="1" si="22"/>
        <v>0.25021535129642775</v>
      </c>
      <c r="H513">
        <f t="shared" ca="1" si="23"/>
        <v>4957.4055771881303</v>
      </c>
    </row>
    <row r="514" spans="5:8" x14ac:dyDescent="0.2">
      <c r="E514" s="2">
        <f ca="1"/>
        <v>0.90432876582091937</v>
      </c>
      <c r="F514" s="2">
        <f t="shared" ca="1" si="21"/>
        <v>1.3066180350883603</v>
      </c>
      <c r="G514" s="72">
        <f t="shared" ca="1" si="22"/>
        <v>0.32665450877209007</v>
      </c>
      <c r="H514">
        <f t="shared" ca="1" si="23"/>
        <v>5351.2045882640896</v>
      </c>
    </row>
    <row r="515" spans="5:8" x14ac:dyDescent="0.2">
      <c r="E515" s="2">
        <f ca="1"/>
        <v>0.2856161786621414</v>
      </c>
      <c r="F515" s="2">
        <f t="shared" ca="1" si="21"/>
        <v>-0.56623747586775575</v>
      </c>
      <c r="G515" s="72">
        <f t="shared" ca="1" si="22"/>
        <v>-0.14155936896693894</v>
      </c>
      <c r="H515">
        <f t="shared" ca="1" si="23"/>
        <v>3350.4940564819972</v>
      </c>
    </row>
    <row r="516" spans="5:8" x14ac:dyDescent="0.2">
      <c r="E516" s="2">
        <f ca="1"/>
        <v>0.62624227645182073</v>
      </c>
      <c r="F516" s="2">
        <f t="shared" ca="1" si="21"/>
        <v>0.32191716756278776</v>
      </c>
      <c r="G516" s="72">
        <f t="shared" ca="1" si="22"/>
        <v>8.0479291890696941E-2</v>
      </c>
      <c r="H516">
        <f t="shared" ca="1" si="23"/>
        <v>4183.4927149176783</v>
      </c>
    </row>
    <row r="517" spans="5:8" x14ac:dyDescent="0.2">
      <c r="E517" s="2">
        <f ca="1"/>
        <v>0.42237563392200728</v>
      </c>
      <c r="F517" s="2">
        <f t="shared" ca="1" si="21"/>
        <v>-0.19581972857314031</v>
      </c>
      <c r="G517" s="72">
        <f t="shared" ca="1" si="22"/>
        <v>-4.8954932143285078E-2</v>
      </c>
      <c r="H517">
        <f t="shared" ca="1" si="23"/>
        <v>3675.5848076329771</v>
      </c>
    </row>
    <row r="518" spans="5:8" x14ac:dyDescent="0.2">
      <c r="E518" s="2">
        <f ca="1"/>
        <v>0.59043398580939011</v>
      </c>
      <c r="F518" s="2">
        <f t="shared" ca="1" si="21"/>
        <v>0.22866148991639967</v>
      </c>
      <c r="G518" s="72">
        <f t="shared" ca="1" si="22"/>
        <v>5.7165372479099918E-2</v>
      </c>
      <c r="H518">
        <f t="shared" ca="1" si="23"/>
        <v>4087.087263995908</v>
      </c>
    </row>
    <row r="519" spans="5:8" x14ac:dyDescent="0.2">
      <c r="E519" s="2">
        <f ca="1"/>
        <v>0.56331617258824629</v>
      </c>
      <c r="F519" s="2">
        <f t="shared" ca="1" si="21"/>
        <v>0.15938233602680735</v>
      </c>
      <c r="G519" s="72">
        <f t="shared" ca="1" si="22"/>
        <v>3.9845584006701837E-2</v>
      </c>
      <c r="H519">
        <f t="shared" ca="1" si="23"/>
        <v>4016.9092654557467</v>
      </c>
    </row>
    <row r="520" spans="5:8" x14ac:dyDescent="0.2">
      <c r="E520" s="2">
        <f ca="1"/>
        <v>5.1750639530739662E-2</v>
      </c>
      <c r="F520" s="2">
        <f t="shared" ca="1" si="21"/>
        <v>-1.6281113418200623</v>
      </c>
      <c r="G520" s="72">
        <f t="shared" ca="1" si="22"/>
        <v>-0.40702783545501559</v>
      </c>
      <c r="H520">
        <f t="shared" ca="1" si="23"/>
        <v>2569.315055514845</v>
      </c>
    </row>
    <row r="521" spans="5:8" x14ac:dyDescent="0.2">
      <c r="E521" s="2">
        <f ca="1"/>
        <v>0.31535295221542636</v>
      </c>
      <c r="F521" s="2">
        <f t="shared" ca="1" si="21"/>
        <v>-0.48073352002600178</v>
      </c>
      <c r="G521" s="72">
        <f t="shared" ca="1" si="22"/>
        <v>-0.12018338000650045</v>
      </c>
      <c r="H521">
        <f t="shared" ca="1" si="23"/>
        <v>3422.885139472804</v>
      </c>
    </row>
    <row r="522" spans="5:8" x14ac:dyDescent="0.2">
      <c r="E522" s="2">
        <f ca="1"/>
        <v>0.71126881630849614</v>
      </c>
      <c r="F522" s="2">
        <f t="shared" ca="1" si="21"/>
        <v>0.55709522857694904</v>
      </c>
      <c r="G522" s="72">
        <f t="shared" ca="1" si="22"/>
        <v>0.13927380714423726</v>
      </c>
      <c r="H522">
        <f t="shared" ca="1" si="23"/>
        <v>4436.8336964774899</v>
      </c>
    </row>
    <row r="523" spans="5:8" x14ac:dyDescent="0.2">
      <c r="E523" s="2">
        <f ca="1"/>
        <v>0.10447353371045209</v>
      </c>
      <c r="F523" s="2">
        <f t="shared" ca="1" si="21"/>
        <v>-1.2564659948663683</v>
      </c>
      <c r="G523" s="72">
        <f t="shared" ca="1" si="22"/>
        <v>-0.31411649871659209</v>
      </c>
      <c r="H523">
        <f t="shared" ca="1" si="23"/>
        <v>2819.474964346939</v>
      </c>
    </row>
    <row r="524" spans="5:8" x14ac:dyDescent="0.2">
      <c r="E524" s="2">
        <f ca="1"/>
        <v>0.76898823585582021</v>
      </c>
      <c r="F524" s="2">
        <f t="shared" ca="1" si="21"/>
        <v>0.7355189090748091</v>
      </c>
      <c r="G524" s="72">
        <f t="shared" ca="1" si="22"/>
        <v>0.18387972726870228</v>
      </c>
      <c r="H524">
        <f t="shared" ca="1" si="23"/>
        <v>4639.2230715660517</v>
      </c>
    </row>
    <row r="525" spans="5:8" x14ac:dyDescent="0.2">
      <c r="E525" s="2">
        <f ca="1"/>
        <v>0.54406498972878947</v>
      </c>
      <c r="F525" s="2">
        <f t="shared" ca="1" si="21"/>
        <v>0.11068010803057049</v>
      </c>
      <c r="G525" s="72">
        <f t="shared" ca="1" si="22"/>
        <v>2.7670027007642622E-2</v>
      </c>
      <c r="H525">
        <f t="shared" ca="1" si="23"/>
        <v>3968.297694739595</v>
      </c>
    </row>
    <row r="526" spans="5:8" x14ac:dyDescent="0.2">
      <c r="E526" s="2">
        <f ca="1"/>
        <v>0.26645777872818766</v>
      </c>
      <c r="F526" s="2">
        <f t="shared" ca="1" si="21"/>
        <v>-0.62356156691917164</v>
      </c>
      <c r="G526" s="72">
        <f t="shared" ca="1" si="22"/>
        <v>-0.15589039172979291</v>
      </c>
      <c r="H526">
        <f t="shared" ca="1" si="23"/>
        <v>3302.8204714315361</v>
      </c>
    </row>
    <row r="527" spans="5:8" x14ac:dyDescent="0.2">
      <c r="E527" s="2">
        <f ca="1"/>
        <v>0.72463223339949434</v>
      </c>
      <c r="F527" s="2">
        <f t="shared" ca="1" si="21"/>
        <v>0.5966583084086049</v>
      </c>
      <c r="G527" s="72">
        <f t="shared" ca="1" si="22"/>
        <v>0.14916457710215122</v>
      </c>
      <c r="H527">
        <f t="shared" ca="1" si="23"/>
        <v>4480.9351369857131</v>
      </c>
    </row>
    <row r="528" spans="5:8" x14ac:dyDescent="0.2">
      <c r="E528" s="2">
        <f ca="1"/>
        <v>0.16214928574007681</v>
      </c>
      <c r="F528" s="2">
        <f t="shared" ca="1" si="21"/>
        <v>-0.98566287819205256</v>
      </c>
      <c r="G528" s="72">
        <f t="shared" ca="1" si="22"/>
        <v>-0.24641571954801314</v>
      </c>
      <c r="H528">
        <f t="shared" ca="1" si="23"/>
        <v>3016.9653160185558</v>
      </c>
    </row>
    <row r="529" spans="5:8" x14ac:dyDescent="0.2">
      <c r="E529" s="2">
        <f ca="1"/>
        <v>0.83477932303092528</v>
      </c>
      <c r="F529" s="2">
        <f t="shared" ca="1" si="21"/>
        <v>0.97322527037911499</v>
      </c>
      <c r="G529" s="72">
        <f t="shared" ca="1" si="22"/>
        <v>0.24330631759477875</v>
      </c>
      <c r="H529">
        <f t="shared" ca="1" si="23"/>
        <v>4923.2727432094807</v>
      </c>
    </row>
    <row r="530" spans="5:8" x14ac:dyDescent="0.2">
      <c r="E530" s="2">
        <f ca="1"/>
        <v>0.33098443490261187</v>
      </c>
      <c r="F530" s="2">
        <f t="shared" ca="1" si="21"/>
        <v>-0.43719646966187137</v>
      </c>
      <c r="G530" s="72">
        <f t="shared" ca="1" si="22"/>
        <v>-0.10929911741546784</v>
      </c>
      <c r="H530">
        <f t="shared" ca="1" si="23"/>
        <v>3460.3442075111502</v>
      </c>
    </row>
    <row r="531" spans="5:8" x14ac:dyDescent="0.2">
      <c r="E531" s="2">
        <f ca="1"/>
        <v>0.64942675527316762</v>
      </c>
      <c r="F531" s="2">
        <f t="shared" ref="F531:F594" ca="1" si="24">_xlfn.NORM.S.INV(E531)</f>
        <v>0.38377328595405696</v>
      </c>
      <c r="G531" s="72">
        <f t="shared" ref="G531:G594" ca="1" si="25">$G$12+$G$13*F531</f>
        <v>9.5943321488514241E-2</v>
      </c>
      <c r="H531">
        <f t="shared" ref="H531:H594" ca="1" si="26">$G$11*EXP(G531)</f>
        <v>4248.6891708143039</v>
      </c>
    </row>
    <row r="532" spans="5:8" x14ac:dyDescent="0.2">
      <c r="E532" s="2">
        <f ca="1"/>
        <v>0.76612796308601294</v>
      </c>
      <c r="F532" s="2">
        <f t="shared" ca="1" si="24"/>
        <v>0.72615448003250904</v>
      </c>
      <c r="G532" s="72">
        <f t="shared" ca="1" si="25"/>
        <v>0.18153862000812726</v>
      </c>
      <c r="H532">
        <f t="shared" ca="1" si="26"/>
        <v>4628.3748561224766</v>
      </c>
    </row>
    <row r="533" spans="5:8" x14ac:dyDescent="0.2">
      <c r="E533" s="2">
        <f ca="1"/>
        <v>0.15605464274918424</v>
      </c>
      <c r="F533" s="2">
        <f t="shared" ca="1" si="24"/>
        <v>-1.0108060111778496</v>
      </c>
      <c r="G533" s="72">
        <f t="shared" ca="1" si="25"/>
        <v>-0.25270150279446241</v>
      </c>
      <c r="H533">
        <f t="shared" ca="1" si="26"/>
        <v>2998.0608030601811</v>
      </c>
    </row>
    <row r="534" spans="5:8" x14ac:dyDescent="0.2">
      <c r="E534" s="2">
        <f ca="1"/>
        <v>0.12001998228941968</v>
      </c>
      <c r="F534" s="2">
        <f t="shared" ca="1" si="24"/>
        <v>-1.174886906700404</v>
      </c>
      <c r="G534" s="72">
        <f t="shared" ca="1" si="25"/>
        <v>-0.29372172667510099</v>
      </c>
      <c r="H534">
        <f t="shared" ca="1" si="26"/>
        <v>2877.5678959537213</v>
      </c>
    </row>
    <row r="535" spans="5:8" x14ac:dyDescent="0.2">
      <c r="E535" s="2">
        <f ca="1"/>
        <v>0.65709098490441464</v>
      </c>
      <c r="F535" s="2">
        <f t="shared" ca="1" si="24"/>
        <v>0.40453678943578075</v>
      </c>
      <c r="G535" s="72">
        <f t="shared" ca="1" si="25"/>
        <v>0.10113419735894519</v>
      </c>
      <c r="H535">
        <f t="shared" ca="1" si="26"/>
        <v>4270.800928957502</v>
      </c>
    </row>
    <row r="536" spans="5:8" x14ac:dyDescent="0.2">
      <c r="E536" s="2">
        <f ca="1"/>
        <v>4.4304304177895437E-2</v>
      </c>
      <c r="F536" s="2">
        <f t="shared" ca="1" si="24"/>
        <v>-1.7027834114683524</v>
      </c>
      <c r="G536" s="72">
        <f t="shared" ca="1" si="25"/>
        <v>-0.42569585286708811</v>
      </c>
      <c r="H536">
        <f t="shared" ca="1" si="26"/>
        <v>2521.7959609689788</v>
      </c>
    </row>
    <row r="537" spans="5:8" x14ac:dyDescent="0.2">
      <c r="E537" s="2">
        <f ca="1"/>
        <v>0.21376820982776046</v>
      </c>
      <c r="F537" s="2">
        <f t="shared" ca="1" si="24"/>
        <v>-0.79341440694319787</v>
      </c>
      <c r="G537" s="72">
        <f t="shared" ca="1" si="25"/>
        <v>-0.19835360173579947</v>
      </c>
      <c r="H537">
        <f t="shared" ca="1" si="26"/>
        <v>3165.5081060293537</v>
      </c>
    </row>
    <row r="538" spans="5:8" x14ac:dyDescent="0.2">
      <c r="E538" s="2">
        <f ca="1"/>
        <v>0.94036525569576268</v>
      </c>
      <c r="F538" s="2">
        <f t="shared" ca="1" si="24"/>
        <v>1.5578471386724113</v>
      </c>
      <c r="G538" s="72">
        <f t="shared" ca="1" si="25"/>
        <v>0.38946178466810283</v>
      </c>
      <c r="H538">
        <f t="shared" ca="1" si="26"/>
        <v>5698.0782458671165</v>
      </c>
    </row>
    <row r="539" spans="5:8" x14ac:dyDescent="0.2">
      <c r="E539" s="2">
        <f ca="1"/>
        <v>4.6588747329724844E-2</v>
      </c>
      <c r="F539" s="2">
        <f t="shared" ca="1" si="24"/>
        <v>-1.6788694242729203</v>
      </c>
      <c r="G539" s="72">
        <f t="shared" ca="1" si="25"/>
        <v>-0.41971735606823007</v>
      </c>
      <c r="H539">
        <f t="shared" ca="1" si="26"/>
        <v>2536.9176675456752</v>
      </c>
    </row>
    <row r="540" spans="5:8" x14ac:dyDescent="0.2">
      <c r="E540" s="2">
        <f ca="1"/>
        <v>0.9682154670428833</v>
      </c>
      <c r="F540" s="2">
        <f t="shared" ca="1" si="24"/>
        <v>1.8551902330704757</v>
      </c>
      <c r="G540" s="72">
        <f t="shared" ca="1" si="25"/>
        <v>0.46379755826761893</v>
      </c>
      <c r="H540">
        <f t="shared" ca="1" si="26"/>
        <v>6137.789995278963</v>
      </c>
    </row>
    <row r="541" spans="5:8" x14ac:dyDescent="0.2">
      <c r="E541" s="2">
        <f ca="1"/>
        <v>0.16299297191741502</v>
      </c>
      <c r="F541" s="2">
        <f t="shared" ca="1" si="24"/>
        <v>-0.98223123307675009</v>
      </c>
      <c r="G541" s="72">
        <f t="shared" ca="1" si="25"/>
        <v>-0.24555780826918752</v>
      </c>
      <c r="H541">
        <f t="shared" ca="1" si="26"/>
        <v>3019.5547151695432</v>
      </c>
    </row>
    <row r="542" spans="5:8" x14ac:dyDescent="0.2">
      <c r="E542" s="2">
        <f ca="1"/>
        <v>0.75357636506663739</v>
      </c>
      <c r="F542" s="2">
        <f t="shared" ca="1" si="24"/>
        <v>0.68578726220296582</v>
      </c>
      <c r="G542" s="72">
        <f t="shared" ca="1" si="25"/>
        <v>0.17144681555074145</v>
      </c>
      <c r="H542">
        <f t="shared" ca="1" si="26"/>
        <v>4581.9010985798814</v>
      </c>
    </row>
    <row r="543" spans="5:8" x14ac:dyDescent="0.2">
      <c r="E543" s="2">
        <f ca="1"/>
        <v>0.29994740592627722</v>
      </c>
      <c r="F543" s="2">
        <f t="shared" ca="1" si="24"/>
        <v>-0.52455178471633512</v>
      </c>
      <c r="G543" s="72">
        <f t="shared" ca="1" si="25"/>
        <v>-0.13113794617908378</v>
      </c>
      <c r="H543">
        <f t="shared" ca="1" si="26"/>
        <v>3385.5935472416932</v>
      </c>
    </row>
    <row r="544" spans="5:8" x14ac:dyDescent="0.2">
      <c r="E544" s="2">
        <f ca="1"/>
        <v>7.6391489113540212E-2</v>
      </c>
      <c r="F544" s="2">
        <f t="shared" ca="1" si="24"/>
        <v>-1.4297702222054121</v>
      </c>
      <c r="G544" s="72">
        <f t="shared" ca="1" si="25"/>
        <v>-0.35744255555135301</v>
      </c>
      <c r="H544">
        <f t="shared" ca="1" si="26"/>
        <v>2699.9267092655241</v>
      </c>
    </row>
    <row r="545" spans="5:8" x14ac:dyDescent="0.2">
      <c r="E545" s="2">
        <f ca="1"/>
        <v>0.9142458755593954</v>
      </c>
      <c r="F545" s="2">
        <f t="shared" ca="1" si="24"/>
        <v>1.3673735489341725</v>
      </c>
      <c r="G545" s="72">
        <f t="shared" ca="1" si="25"/>
        <v>0.34184338723354313</v>
      </c>
      <c r="H545">
        <f t="shared" ca="1" si="26"/>
        <v>5433.1037883558301</v>
      </c>
    </row>
    <row r="546" spans="5:8" x14ac:dyDescent="0.2">
      <c r="E546" s="2">
        <f ca="1"/>
        <v>0.35097319559140905</v>
      </c>
      <c r="F546" s="2">
        <f t="shared" ca="1" si="24"/>
        <v>-0.38269436753059161</v>
      </c>
      <c r="G546" s="72">
        <f t="shared" ca="1" si="25"/>
        <v>-9.5673591882647901E-2</v>
      </c>
      <c r="H546">
        <f t="shared" ca="1" si="26"/>
        <v>3507.8158947624479</v>
      </c>
    </row>
    <row r="547" spans="5:8" x14ac:dyDescent="0.2">
      <c r="E547" s="2">
        <f ca="1"/>
        <v>0.83678844555160592</v>
      </c>
      <c r="F547" s="2">
        <f t="shared" ca="1" si="24"/>
        <v>0.98134404616961091</v>
      </c>
      <c r="G547" s="72">
        <f t="shared" ca="1" si="25"/>
        <v>0.24533601154240273</v>
      </c>
      <c r="H547">
        <f t="shared" ca="1" si="26"/>
        <v>4933.2756280622589</v>
      </c>
    </row>
    <row r="548" spans="5:8" x14ac:dyDescent="0.2">
      <c r="E548" s="2">
        <f ca="1"/>
        <v>0.40020957455484751</v>
      </c>
      <c r="F548" s="2">
        <f t="shared" ca="1" si="24"/>
        <v>-0.25280468249260485</v>
      </c>
      <c r="G548" s="72">
        <f t="shared" ca="1" si="25"/>
        <v>-6.3201170623151212E-2</v>
      </c>
      <c r="H548">
        <f t="shared" ca="1" si="26"/>
        <v>3623.5927746958946</v>
      </c>
    </row>
    <row r="549" spans="5:8" x14ac:dyDescent="0.2">
      <c r="E549" s="2">
        <f ca="1"/>
        <v>0.89184315230934352</v>
      </c>
      <c r="F549" s="2">
        <f t="shared" ca="1" si="24"/>
        <v>1.2363898278504732</v>
      </c>
      <c r="G549" s="72">
        <f t="shared" ca="1" si="25"/>
        <v>0.30909745696261831</v>
      </c>
      <c r="H549">
        <f t="shared" ca="1" si="26"/>
        <v>5258.0731610132971</v>
      </c>
    </row>
    <row r="550" spans="5:8" x14ac:dyDescent="0.2">
      <c r="E550" s="2">
        <f ca="1"/>
        <v>0.49738995529503272</v>
      </c>
      <c r="F550" s="2">
        <f t="shared" ca="1" si="24"/>
        <v>-6.5424585288636292E-3</v>
      </c>
      <c r="G550" s="72">
        <f t="shared" ca="1" si="25"/>
        <v>-1.6356146322159073E-3</v>
      </c>
      <c r="H550">
        <f t="shared" ca="1" si="26"/>
        <v>3853.6916879097776</v>
      </c>
    </row>
    <row r="551" spans="5:8" x14ac:dyDescent="0.2">
      <c r="E551" s="2">
        <f ca="1"/>
        <v>0.36084838000339259</v>
      </c>
      <c r="F551" s="2">
        <f t="shared" ca="1" si="24"/>
        <v>-0.3561920302604033</v>
      </c>
      <c r="G551" s="72">
        <f t="shared" ca="1" si="25"/>
        <v>-8.9048007565100826E-2</v>
      </c>
      <c r="H551">
        <f t="shared" ca="1" si="26"/>
        <v>3531.1343887641224</v>
      </c>
    </row>
    <row r="552" spans="5:8" x14ac:dyDescent="0.2">
      <c r="E552" s="2">
        <f ca="1"/>
        <v>0.86492004170047299</v>
      </c>
      <c r="F552" s="2">
        <f t="shared" ca="1" si="24"/>
        <v>1.1026943606352526</v>
      </c>
      <c r="G552" s="72">
        <f t="shared" ca="1" si="25"/>
        <v>0.27567359015881315</v>
      </c>
      <c r="H552">
        <f t="shared" ca="1" si="26"/>
        <v>5085.2326142469519</v>
      </c>
    </row>
    <row r="553" spans="5:8" x14ac:dyDescent="0.2">
      <c r="E553" s="2">
        <f ca="1"/>
        <v>0.40873745734620703</v>
      </c>
      <c r="F553" s="2">
        <f t="shared" ca="1" si="24"/>
        <v>-0.23079390736211819</v>
      </c>
      <c r="G553" s="72">
        <f t="shared" ca="1" si="25"/>
        <v>-5.7698476840529547E-2</v>
      </c>
      <c r="H553">
        <f t="shared" ca="1" si="26"/>
        <v>3643.5872574337736</v>
      </c>
    </row>
    <row r="554" spans="5:8" x14ac:dyDescent="0.2">
      <c r="E554" s="2">
        <f ca="1"/>
        <v>0.99719330964868602</v>
      </c>
      <c r="F554" s="2">
        <f t="shared" ca="1" si="24"/>
        <v>2.7695498881196512</v>
      </c>
      <c r="G554" s="72">
        <f t="shared" ca="1" si="25"/>
        <v>0.6923874720299128</v>
      </c>
      <c r="H554">
        <f t="shared" ca="1" si="26"/>
        <v>7714.1372774103056</v>
      </c>
    </row>
    <row r="555" spans="5:8" x14ac:dyDescent="0.2">
      <c r="E555" s="2">
        <f ca="1"/>
        <v>0.6606128350950029</v>
      </c>
      <c r="F555" s="2">
        <f t="shared" ca="1" si="24"/>
        <v>0.41413624510220426</v>
      </c>
      <c r="G555" s="72">
        <f t="shared" ca="1" si="25"/>
        <v>0.10353406127555106</v>
      </c>
      <c r="H555">
        <f t="shared" ca="1" si="26"/>
        <v>4281.0625783579417</v>
      </c>
    </row>
    <row r="556" spans="5:8" x14ac:dyDescent="0.2">
      <c r="E556" s="2">
        <f ca="1"/>
        <v>0.55197631852560658</v>
      </c>
      <c r="F556" s="2">
        <f t="shared" ca="1" si="24"/>
        <v>0.13065609839051265</v>
      </c>
      <c r="G556" s="72">
        <f t="shared" ca="1" si="25"/>
        <v>3.2664024597628162E-2</v>
      </c>
      <c r="H556">
        <f t="shared" ca="1" si="26"/>
        <v>3988.1649310378243</v>
      </c>
    </row>
    <row r="557" spans="5:8" x14ac:dyDescent="0.2">
      <c r="E557" s="2">
        <f ca="1"/>
        <v>7.1590684997379528E-2</v>
      </c>
      <c r="F557" s="2">
        <f t="shared" ca="1" si="24"/>
        <v>-1.4640460372245858</v>
      </c>
      <c r="G557" s="72">
        <f t="shared" ca="1" si="25"/>
        <v>-0.36601150930614645</v>
      </c>
      <c r="H557">
        <f t="shared" ca="1" si="26"/>
        <v>2676.8900033457917</v>
      </c>
    </row>
    <row r="558" spans="5:8" x14ac:dyDescent="0.2">
      <c r="E558" s="2">
        <f ca="1"/>
        <v>0.16053501798205994</v>
      </c>
      <c r="F558" s="2">
        <f t="shared" ca="1" si="24"/>
        <v>-0.99226138296718402</v>
      </c>
      <c r="G558" s="72">
        <f t="shared" ca="1" si="25"/>
        <v>-0.24806534574179601</v>
      </c>
      <c r="H558">
        <f t="shared" ca="1" si="26"/>
        <v>3011.9925537346608</v>
      </c>
    </row>
    <row r="559" spans="5:8" x14ac:dyDescent="0.2">
      <c r="E559" s="2">
        <f ca="1"/>
        <v>0.39457298568426813</v>
      </c>
      <c r="F559" s="2">
        <f t="shared" ca="1" si="24"/>
        <v>-0.26741978028647861</v>
      </c>
      <c r="G559" s="72">
        <f t="shared" ca="1" si="25"/>
        <v>-6.6854945071619654E-2</v>
      </c>
      <c r="H559">
        <f t="shared" ca="1" si="26"/>
        <v>3610.3771421767278</v>
      </c>
    </row>
    <row r="560" spans="5:8" x14ac:dyDescent="0.2">
      <c r="E560" s="2">
        <f ca="1"/>
        <v>0.52334936051077063</v>
      </c>
      <c r="F560" s="2">
        <f t="shared" ca="1" si="24"/>
        <v>5.8561622531438678E-2</v>
      </c>
      <c r="G560" s="72">
        <f t="shared" ca="1" si="25"/>
        <v>1.464040563285967E-2</v>
      </c>
      <c r="H560">
        <f t="shared" ca="1" si="26"/>
        <v>3916.9276710140698</v>
      </c>
    </row>
    <row r="561" spans="5:8" x14ac:dyDescent="0.2">
      <c r="E561" s="2">
        <f ca="1"/>
        <v>5.8151077018812947E-2</v>
      </c>
      <c r="F561" s="2">
        <f t="shared" ca="1" si="24"/>
        <v>-1.5704857198382702</v>
      </c>
      <c r="G561" s="72">
        <f t="shared" ca="1" si="25"/>
        <v>-0.39262142995956756</v>
      </c>
      <c r="H561">
        <f t="shared" ca="1" si="26"/>
        <v>2606.5975586665941</v>
      </c>
    </row>
    <row r="562" spans="5:8" x14ac:dyDescent="0.2">
      <c r="E562" s="2">
        <f ca="1"/>
        <v>0.14411001561045977</v>
      </c>
      <c r="F562" s="2">
        <f t="shared" ca="1" si="24"/>
        <v>-1.0620344826533699</v>
      </c>
      <c r="G562" s="72">
        <f t="shared" ca="1" si="25"/>
        <v>-0.26550862066334247</v>
      </c>
      <c r="H562">
        <f t="shared" ca="1" si="26"/>
        <v>2959.9091130485599</v>
      </c>
    </row>
    <row r="563" spans="5:8" x14ac:dyDescent="0.2">
      <c r="E563" s="2">
        <f ca="1"/>
        <v>0.30168169391936384</v>
      </c>
      <c r="F563" s="2">
        <f t="shared" ca="1" si="24"/>
        <v>-0.51956989143699583</v>
      </c>
      <c r="G563" s="72">
        <f t="shared" ca="1" si="25"/>
        <v>-0.12989247285924896</v>
      </c>
      <c r="H563">
        <f t="shared" ca="1" si="26"/>
        <v>3389.8128406398505</v>
      </c>
    </row>
    <row r="564" spans="5:8" x14ac:dyDescent="0.2">
      <c r="E564" s="2">
        <f ca="1"/>
        <v>0.71114960391563065</v>
      </c>
      <c r="F564" s="2">
        <f t="shared" ca="1" si="24"/>
        <v>0.55674627963404333</v>
      </c>
      <c r="G564" s="72">
        <f t="shared" ca="1" si="25"/>
        <v>0.13918656990851083</v>
      </c>
      <c r="H564">
        <f t="shared" ca="1" si="26"/>
        <v>4436.446656252836</v>
      </c>
    </row>
    <row r="565" spans="5:8" x14ac:dyDescent="0.2">
      <c r="E565" s="2">
        <f ca="1"/>
        <v>0.67396679586552666</v>
      </c>
      <c r="F565" s="2">
        <f t="shared" ca="1" si="24"/>
        <v>0.45089336155530113</v>
      </c>
      <c r="G565" s="72">
        <f t="shared" ca="1" si="25"/>
        <v>0.11272334038882528</v>
      </c>
      <c r="H565">
        <f t="shared" ca="1" si="26"/>
        <v>4320.5837647919689</v>
      </c>
    </row>
    <row r="566" spans="5:8" x14ac:dyDescent="0.2">
      <c r="E566" s="2">
        <f ca="1"/>
        <v>0.48424176100872596</v>
      </c>
      <c r="F566" s="2">
        <f t="shared" ca="1" si="24"/>
        <v>-3.9510324709776827E-2</v>
      </c>
      <c r="G566" s="72">
        <f t="shared" ca="1" si="25"/>
        <v>-9.8775811774442068E-3</v>
      </c>
      <c r="H566">
        <f t="shared" ca="1" si="26"/>
        <v>3822.0602217456399</v>
      </c>
    </row>
    <row r="567" spans="5:8" x14ac:dyDescent="0.2">
      <c r="E567" s="2">
        <f ca="1"/>
        <v>0.73536813521962086</v>
      </c>
      <c r="F567" s="2">
        <f t="shared" ca="1" si="24"/>
        <v>0.62913033912526595</v>
      </c>
      <c r="G567" s="72">
        <f t="shared" ca="1" si="25"/>
        <v>0.15728258478131649</v>
      </c>
      <c r="H567">
        <f t="shared" ca="1" si="26"/>
        <v>4517.4594545976361</v>
      </c>
    </row>
    <row r="568" spans="5:8" x14ac:dyDescent="0.2">
      <c r="E568" s="2">
        <f ca="1"/>
        <v>0.55070927675771641</v>
      </c>
      <c r="F568" s="2">
        <f t="shared" ca="1" si="24"/>
        <v>0.12745353549821556</v>
      </c>
      <c r="G568" s="72">
        <f t="shared" ca="1" si="25"/>
        <v>3.186338387455389E-2</v>
      </c>
      <c r="H568">
        <f t="shared" ca="1" si="26"/>
        <v>3984.9731217004687</v>
      </c>
    </row>
    <row r="569" spans="5:8" x14ac:dyDescent="0.2">
      <c r="E569" s="2">
        <f ca="1"/>
        <v>0.30736397852094322</v>
      </c>
      <c r="F569" s="2">
        <f t="shared" ca="1" si="24"/>
        <v>-0.50333614632810919</v>
      </c>
      <c r="G569" s="72">
        <f t="shared" ca="1" si="25"/>
        <v>-0.1258340365820273</v>
      </c>
      <c r="H569">
        <f t="shared" ca="1" si="26"/>
        <v>3403.5981344922761</v>
      </c>
    </row>
    <row r="570" spans="5:8" x14ac:dyDescent="0.2">
      <c r="E570" s="2">
        <f ca="1"/>
        <v>0.26481913341165542</v>
      </c>
      <c r="F570" s="2">
        <f t="shared" ca="1" si="24"/>
        <v>-0.62855830122529421</v>
      </c>
      <c r="G570" s="72">
        <f t="shared" ca="1" si="25"/>
        <v>-0.15713957530632355</v>
      </c>
      <c r="H570">
        <f t="shared" ca="1" si="26"/>
        <v>3298.6972182286672</v>
      </c>
    </row>
    <row r="571" spans="5:8" x14ac:dyDescent="0.2">
      <c r="E571" s="2">
        <f ca="1"/>
        <v>0.86145284635697639</v>
      </c>
      <c r="F571" s="2">
        <f t="shared" ca="1" si="24"/>
        <v>1.0868699071772674</v>
      </c>
      <c r="G571" s="72">
        <f t="shared" ca="1" si="25"/>
        <v>0.27171747679431685</v>
      </c>
      <c r="H571">
        <f t="shared" ca="1" si="26"/>
        <v>5065.1545991784951</v>
      </c>
    </row>
    <row r="572" spans="5:8" x14ac:dyDescent="0.2">
      <c r="E572" s="2">
        <f ca="1"/>
        <v>0.35570579974525729</v>
      </c>
      <c r="F572" s="2">
        <f t="shared" ca="1" si="24"/>
        <v>-0.36996093274386177</v>
      </c>
      <c r="G572" s="72">
        <f t="shared" ca="1" si="25"/>
        <v>-9.2490233185965443E-2</v>
      </c>
      <c r="H572">
        <f t="shared" ca="1" si="26"/>
        <v>3519.0003235767308</v>
      </c>
    </row>
    <row r="573" spans="5:8" x14ac:dyDescent="0.2">
      <c r="E573" s="2">
        <f ca="1"/>
        <v>0.51566705726841344</v>
      </c>
      <c r="F573" s="2">
        <f t="shared" ca="1" si="24"/>
        <v>3.9281588589518752E-2</v>
      </c>
      <c r="G573" s="72">
        <f t="shared" ca="1" si="25"/>
        <v>9.8203971473796881E-3</v>
      </c>
      <c r="H573">
        <f t="shared" ca="1" si="26"/>
        <v>3898.0934733627678</v>
      </c>
    </row>
    <row r="574" spans="5:8" x14ac:dyDescent="0.2">
      <c r="E574" s="2">
        <f ca="1"/>
        <v>0.41322496508560858</v>
      </c>
      <c r="F574" s="2">
        <f t="shared" ca="1" si="24"/>
        <v>-0.21925690469123188</v>
      </c>
      <c r="G574" s="72">
        <f t="shared" ca="1" si="25"/>
        <v>-5.481422617280797E-2</v>
      </c>
      <c r="H574">
        <f t="shared" ca="1" si="26"/>
        <v>3654.111446317529</v>
      </c>
    </row>
    <row r="575" spans="5:8" x14ac:dyDescent="0.2">
      <c r="E575" s="2">
        <f ca="1"/>
        <v>0.65162116696722827</v>
      </c>
      <c r="F575" s="2">
        <f t="shared" ca="1" si="24"/>
        <v>0.38970098770301242</v>
      </c>
      <c r="G575" s="72">
        <f t="shared" ca="1" si="25"/>
        <v>9.7425246925753106E-2</v>
      </c>
      <c r="H575">
        <f t="shared" ca="1" si="26"/>
        <v>4254.9900789563617</v>
      </c>
    </row>
    <row r="576" spans="5:8" x14ac:dyDescent="0.2">
      <c r="E576" s="2">
        <f ca="1"/>
        <v>0.20244472311067585</v>
      </c>
      <c r="F576" s="2">
        <f t="shared" ca="1" si="24"/>
        <v>-0.83292071449901273</v>
      </c>
      <c r="G576" s="72">
        <f t="shared" ca="1" si="25"/>
        <v>-0.20823017862475318</v>
      </c>
      <c r="H576">
        <f t="shared" ca="1" si="26"/>
        <v>3134.3976073373874</v>
      </c>
    </row>
    <row r="577" spans="5:8" x14ac:dyDescent="0.2">
      <c r="E577" s="2">
        <f ca="1"/>
        <v>0.70751721445608062</v>
      </c>
      <c r="F577" s="2">
        <f t="shared" ca="1" si="24"/>
        <v>0.54614601566771959</v>
      </c>
      <c r="G577" s="72">
        <f t="shared" ca="1" si="25"/>
        <v>0.1365365039169299</v>
      </c>
      <c r="H577">
        <f t="shared" ca="1" si="26"/>
        <v>4424.7053443427876</v>
      </c>
    </row>
    <row r="578" spans="5:8" x14ac:dyDescent="0.2">
      <c r="E578" s="2">
        <f ca="1"/>
        <v>0.28688561652290967</v>
      </c>
      <c r="F578" s="2">
        <f t="shared" ca="1" si="24"/>
        <v>-0.56250612300489355</v>
      </c>
      <c r="G578" s="72">
        <f t="shared" ca="1" si="25"/>
        <v>-0.14062653075122339</v>
      </c>
      <c r="H578">
        <f t="shared" ca="1" si="26"/>
        <v>3353.6209836112221</v>
      </c>
    </row>
    <row r="579" spans="5:8" x14ac:dyDescent="0.2">
      <c r="E579" s="2">
        <f ca="1"/>
        <v>0.49197866137881618</v>
      </c>
      <c r="F579" s="2">
        <f t="shared" ca="1" si="24"/>
        <v>-2.0107869129798145E-2</v>
      </c>
      <c r="G579" s="72">
        <f t="shared" ca="1" si="25"/>
        <v>-5.0269672824495362E-3</v>
      </c>
      <c r="H579">
        <f t="shared" ca="1" si="26"/>
        <v>3840.6445965395937</v>
      </c>
    </row>
    <row r="580" spans="5:8" x14ac:dyDescent="0.2">
      <c r="E580" s="2">
        <f ca="1"/>
        <v>0.60249222333016106</v>
      </c>
      <c r="F580" s="2">
        <f t="shared" ca="1" si="24"/>
        <v>0.25980323774117992</v>
      </c>
      <c r="G580" s="72">
        <f t="shared" ca="1" si="25"/>
        <v>6.4950809435294979E-2</v>
      </c>
      <c r="H580">
        <f t="shared" ca="1" si="26"/>
        <v>4119.0312116681289</v>
      </c>
    </row>
    <row r="581" spans="5:8" x14ac:dyDescent="0.2">
      <c r="E581" s="2">
        <f ca="1"/>
        <v>0.87401144482385162</v>
      </c>
      <c r="F581" s="2">
        <f t="shared" ca="1" si="24"/>
        <v>1.145560351759058</v>
      </c>
      <c r="G581" s="72">
        <f t="shared" ca="1" si="25"/>
        <v>0.2863900879397645</v>
      </c>
      <c r="H581">
        <f t="shared" ca="1" si="26"/>
        <v>5140.0215466652326</v>
      </c>
    </row>
    <row r="582" spans="5:8" x14ac:dyDescent="0.2">
      <c r="E582" s="2">
        <f ca="1"/>
        <v>0.53623346590203469</v>
      </c>
      <c r="F582" s="2">
        <f t="shared" ca="1" si="24"/>
        <v>9.0949059062891885E-2</v>
      </c>
      <c r="G582" s="72">
        <f t="shared" ca="1" si="25"/>
        <v>2.2737264765722971E-2</v>
      </c>
      <c r="H582">
        <f t="shared" ca="1" si="26"/>
        <v>3948.7712250159607</v>
      </c>
    </row>
    <row r="583" spans="5:8" x14ac:dyDescent="0.2">
      <c r="E583" s="2">
        <f ca="1"/>
        <v>2.6499073458801314E-2</v>
      </c>
      <c r="F583" s="2">
        <f t="shared" ca="1" si="24"/>
        <v>-1.9349360236963888</v>
      </c>
      <c r="G583" s="72">
        <f t="shared" ca="1" si="25"/>
        <v>-0.48373400592409721</v>
      </c>
      <c r="H583">
        <f t="shared" ca="1" si="26"/>
        <v>2379.601835198268</v>
      </c>
    </row>
    <row r="584" spans="5:8" x14ac:dyDescent="0.2">
      <c r="E584" s="2">
        <f ca="1"/>
        <v>0.87134542817064697</v>
      </c>
      <c r="F584" s="2">
        <f t="shared" ca="1" si="24"/>
        <v>1.1327740689580534</v>
      </c>
      <c r="G584" s="72">
        <f t="shared" ca="1" si="25"/>
        <v>0.28319351723951336</v>
      </c>
      <c r="H584">
        <f t="shared" ca="1" si="26"/>
        <v>5123.6173369668149</v>
      </c>
    </row>
    <row r="585" spans="5:8" x14ac:dyDescent="0.2">
      <c r="E585" s="2">
        <f ca="1"/>
        <v>0.90700495334546427</v>
      </c>
      <c r="F585" s="2">
        <f t="shared" ca="1" si="24"/>
        <v>1.3225349076363822</v>
      </c>
      <c r="G585" s="72">
        <f t="shared" ca="1" si="25"/>
        <v>0.33063372690909554</v>
      </c>
      <c r="H585">
        <f t="shared" ca="1" si="26"/>
        <v>5372.5406208272079</v>
      </c>
    </row>
    <row r="586" spans="5:8" x14ac:dyDescent="0.2">
      <c r="E586" s="2">
        <f ca="1"/>
        <v>0.56749842966887742</v>
      </c>
      <c r="F586" s="2">
        <f t="shared" ca="1" si="24"/>
        <v>0.17000889579688136</v>
      </c>
      <c r="G586" s="72">
        <f t="shared" ca="1" si="25"/>
        <v>4.250222394922034E-2</v>
      </c>
      <c r="H586">
        <f t="shared" ca="1" si="26"/>
        <v>4027.5949347590526</v>
      </c>
    </row>
    <row r="587" spans="5:8" x14ac:dyDescent="0.2">
      <c r="E587" s="2">
        <f ca="1"/>
        <v>0.16109720049615417</v>
      </c>
      <c r="F587" s="2">
        <f t="shared" ca="1" si="24"/>
        <v>-0.98995850582071387</v>
      </c>
      <c r="G587" s="72">
        <f t="shared" ca="1" si="25"/>
        <v>-0.24748962645517847</v>
      </c>
      <c r="H587">
        <f t="shared" ca="1" si="26"/>
        <v>3013.7271152013291</v>
      </c>
    </row>
    <row r="588" spans="5:8" x14ac:dyDescent="0.2">
      <c r="E588" s="2">
        <f ca="1"/>
        <v>0.71214389784100396</v>
      </c>
      <c r="F588" s="2">
        <f t="shared" ca="1" si="24"/>
        <v>0.55965877838999667</v>
      </c>
      <c r="G588" s="72">
        <f t="shared" ca="1" si="25"/>
        <v>0.13991469459749917</v>
      </c>
      <c r="H588">
        <f t="shared" ca="1" si="26"/>
        <v>4439.6781189057365</v>
      </c>
    </row>
    <row r="589" spans="5:8" x14ac:dyDescent="0.2">
      <c r="E589" s="2">
        <f ca="1"/>
        <v>0.94544946593479229</v>
      </c>
      <c r="F589" s="2">
        <f t="shared" ca="1" si="24"/>
        <v>1.6022466943952149</v>
      </c>
      <c r="G589" s="72">
        <f t="shared" ca="1" si="25"/>
        <v>0.40056167359880374</v>
      </c>
      <c r="H589">
        <f t="shared" ca="1" si="26"/>
        <v>5761.6786069845639</v>
      </c>
    </row>
    <row r="590" spans="5:8" x14ac:dyDescent="0.2">
      <c r="E590" s="2">
        <f ca="1"/>
        <v>6.1238321480527214E-2</v>
      </c>
      <c r="F590" s="2">
        <f t="shared" ca="1" si="24"/>
        <v>-1.5444612035793355</v>
      </c>
      <c r="G590" s="72">
        <f t="shared" ca="1" si="25"/>
        <v>-0.38611530089483387</v>
      </c>
      <c r="H590">
        <f t="shared" ca="1" si="26"/>
        <v>2623.6117069083302</v>
      </c>
    </row>
    <row r="591" spans="5:8" x14ac:dyDescent="0.2">
      <c r="E591" s="2">
        <f ca="1"/>
        <v>0.30939082247393968</v>
      </c>
      <c r="F591" s="2">
        <f t="shared" ca="1" si="24"/>
        <v>-0.49757781321141153</v>
      </c>
      <c r="G591" s="72">
        <f t="shared" ca="1" si="25"/>
        <v>-0.12439445330285288</v>
      </c>
      <c r="H591">
        <f t="shared" ca="1" si="26"/>
        <v>3408.5014259571249</v>
      </c>
    </row>
    <row r="592" spans="5:8" x14ac:dyDescent="0.2">
      <c r="E592" s="2">
        <f ca="1"/>
        <v>0.77244612281018754</v>
      </c>
      <c r="F592" s="2">
        <f t="shared" ca="1" si="24"/>
        <v>0.74692678888594355</v>
      </c>
      <c r="G592" s="72">
        <f t="shared" ca="1" si="25"/>
        <v>0.18673169722148589</v>
      </c>
      <c r="H592">
        <f t="shared" ca="1" si="26"/>
        <v>4652.4728814193431</v>
      </c>
    </row>
    <row r="593" spans="5:8" x14ac:dyDescent="0.2">
      <c r="E593" s="2">
        <f ca="1"/>
        <v>0.17230205480840755</v>
      </c>
      <c r="F593" s="2">
        <f t="shared" ca="1" si="24"/>
        <v>-0.94510727885583046</v>
      </c>
      <c r="G593" s="72">
        <f t="shared" ca="1" si="25"/>
        <v>-0.23627681971395761</v>
      </c>
      <c r="H593">
        <f t="shared" ca="1" si="26"/>
        <v>3047.7096184933207</v>
      </c>
    </row>
    <row r="594" spans="5:8" x14ac:dyDescent="0.2">
      <c r="E594" s="2">
        <f ca="1"/>
        <v>0.75040909046197779</v>
      </c>
      <c r="F594" s="2">
        <f t="shared" ca="1" si="24"/>
        <v>0.67577766227352454</v>
      </c>
      <c r="G594" s="72">
        <f t="shared" ca="1" si="25"/>
        <v>0.16894441556838113</v>
      </c>
      <c r="H594">
        <f t="shared" ca="1" si="26"/>
        <v>4570.4496833380026</v>
      </c>
    </row>
    <row r="595" spans="5:8" x14ac:dyDescent="0.2">
      <c r="E595" s="2">
        <f ca="1"/>
        <v>0.3812096628383943</v>
      </c>
      <c r="F595" s="2">
        <f t="shared" ref="F595:F658" ca="1" si="27">_xlfn.NORM.S.INV(E595)</f>
        <v>-0.30230531673347844</v>
      </c>
      <c r="G595" s="72">
        <f t="shared" ref="G595:G658" ca="1" si="28">$G$12+$G$13*F595</f>
        <v>-7.5576329183369609E-2</v>
      </c>
      <c r="H595">
        <f t="shared" ref="H595:H658" ca="1" si="29">$G$11*EXP(G595)</f>
        <v>3579.0265652600233</v>
      </c>
    </row>
    <row r="596" spans="5:8" x14ac:dyDescent="0.2">
      <c r="E596" s="2">
        <f ca="1"/>
        <v>0.93319210635818095</v>
      </c>
      <c r="F596" s="2">
        <f t="shared" ca="1" si="27"/>
        <v>1.4999946542384344</v>
      </c>
      <c r="G596" s="72">
        <f t="shared" ca="1" si="28"/>
        <v>0.37499866355960859</v>
      </c>
      <c r="H596">
        <f t="shared" ca="1" si="29"/>
        <v>5616.259354625392</v>
      </c>
    </row>
    <row r="597" spans="5:8" x14ac:dyDescent="0.2">
      <c r="E597" s="2">
        <f ca="1"/>
        <v>0.78567881203822632</v>
      </c>
      <c r="F597" s="2">
        <f t="shared" ca="1" si="27"/>
        <v>0.7915169724542207</v>
      </c>
      <c r="G597" s="72">
        <f t="shared" ca="1" si="28"/>
        <v>0.19787924311355518</v>
      </c>
      <c r="H597">
        <f t="shared" ca="1" si="29"/>
        <v>4704.6266897772539</v>
      </c>
    </row>
    <row r="598" spans="5:8" x14ac:dyDescent="0.2">
      <c r="E598" s="2">
        <f ca="1"/>
        <v>0.45489081660548325</v>
      </c>
      <c r="F598" s="2">
        <f t="shared" ca="1" si="27"/>
        <v>-0.11331398123323559</v>
      </c>
      <c r="G598" s="72">
        <f t="shared" ca="1" si="28"/>
        <v>-2.8328495308308898E-2</v>
      </c>
      <c r="H598">
        <f t="shared" ca="1" si="29"/>
        <v>3752.1863177816999</v>
      </c>
    </row>
    <row r="599" spans="5:8" x14ac:dyDescent="0.2">
      <c r="E599" s="2">
        <f ca="1"/>
        <v>8.3600905840494733E-2</v>
      </c>
      <c r="F599" s="2">
        <f t="shared" ca="1" si="27"/>
        <v>-1.3812509574674632</v>
      </c>
      <c r="G599" s="72">
        <f t="shared" ca="1" si="28"/>
        <v>-0.3453127393668658</v>
      </c>
      <c r="H599">
        <f t="shared" ca="1" si="29"/>
        <v>2732.8757528933897</v>
      </c>
    </row>
    <row r="600" spans="5:8" x14ac:dyDescent="0.2">
      <c r="E600" s="2">
        <f ca="1"/>
        <v>0.28754509672134621</v>
      </c>
      <c r="F600" s="2">
        <f t="shared" ca="1" si="27"/>
        <v>-0.56057075398428557</v>
      </c>
      <c r="G600" s="72">
        <f t="shared" ca="1" si="28"/>
        <v>-0.14014268849607139</v>
      </c>
      <c r="H600">
        <f t="shared" ca="1" si="29"/>
        <v>3355.2439997610918</v>
      </c>
    </row>
    <row r="601" spans="5:8" x14ac:dyDescent="0.2">
      <c r="E601" s="2">
        <f ca="1"/>
        <v>0.4826222901768924</v>
      </c>
      <c r="F601" s="2">
        <f t="shared" ca="1" si="27"/>
        <v>-4.35732430913802E-2</v>
      </c>
      <c r="G601" s="72">
        <f t="shared" ca="1" si="28"/>
        <v>-1.089331077284505E-2</v>
      </c>
      <c r="H601">
        <f t="shared" ca="1" si="29"/>
        <v>3818.1800130180322</v>
      </c>
    </row>
    <row r="602" spans="5:8" x14ac:dyDescent="0.2">
      <c r="E602" s="2">
        <f ca="1"/>
        <v>0.19125839195084704</v>
      </c>
      <c r="F602" s="2">
        <f t="shared" ca="1" si="27"/>
        <v>-0.87326842997725529</v>
      </c>
      <c r="G602" s="72">
        <f t="shared" ca="1" si="28"/>
        <v>-0.21831710749431382</v>
      </c>
      <c r="H602">
        <f t="shared" ca="1" si="29"/>
        <v>3102.9400832501974</v>
      </c>
    </row>
    <row r="603" spans="5:8" x14ac:dyDescent="0.2">
      <c r="E603" s="2">
        <f ca="1"/>
        <v>0.51027643710406423</v>
      </c>
      <c r="F603" s="2">
        <f t="shared" ca="1" si="27"/>
        <v>2.5762057166276366E-2</v>
      </c>
      <c r="G603" s="72">
        <f t="shared" ca="1" si="28"/>
        <v>6.4405142915690914E-3</v>
      </c>
      <c r="H603">
        <f t="shared" ca="1" si="29"/>
        <v>3884.9406141445802</v>
      </c>
    </row>
    <row r="604" spans="5:8" x14ac:dyDescent="0.2">
      <c r="E604" s="2">
        <f ca="1"/>
        <v>0.90840328581830265</v>
      </c>
      <c r="F604" s="2">
        <f t="shared" ca="1" si="27"/>
        <v>1.3309865749622716</v>
      </c>
      <c r="G604" s="72">
        <f t="shared" ca="1" si="28"/>
        <v>0.33274664374056789</v>
      </c>
      <c r="H604">
        <f t="shared" ca="1" si="29"/>
        <v>5383.9043534159473</v>
      </c>
    </row>
    <row r="605" spans="5:8" x14ac:dyDescent="0.2">
      <c r="E605" s="2">
        <f ca="1"/>
        <v>0.23627142704515536</v>
      </c>
      <c r="F605" s="2">
        <f t="shared" ca="1" si="27"/>
        <v>-0.71834781623914257</v>
      </c>
      <c r="G605" s="72">
        <f t="shared" ca="1" si="28"/>
        <v>-0.17958695405978564</v>
      </c>
      <c r="H605">
        <f t="shared" ca="1" si="29"/>
        <v>3225.4750102994308</v>
      </c>
    </row>
    <row r="606" spans="5:8" x14ac:dyDescent="0.2">
      <c r="E606" s="2">
        <f ca="1"/>
        <v>8.5850484833935425E-2</v>
      </c>
      <c r="F606" s="2">
        <f t="shared" ca="1" si="27"/>
        <v>-1.3667586434112164</v>
      </c>
      <c r="G606" s="72">
        <f t="shared" ca="1" si="28"/>
        <v>-0.34168966085280411</v>
      </c>
      <c r="H606">
        <f t="shared" ca="1" si="29"/>
        <v>2742.7951348143283</v>
      </c>
    </row>
    <row r="607" spans="5:8" x14ac:dyDescent="0.2">
      <c r="E607" s="2">
        <f ca="1"/>
        <v>2.3149452919249969E-2</v>
      </c>
      <c r="F607" s="2">
        <f t="shared" ca="1" si="27"/>
        <v>-1.9926580325473682</v>
      </c>
      <c r="G607" s="72">
        <f t="shared" ca="1" si="28"/>
        <v>-0.49816450813684204</v>
      </c>
      <c r="H607">
        <f t="shared" ca="1" si="29"/>
        <v>2345.5095615757746</v>
      </c>
    </row>
    <row r="608" spans="5:8" x14ac:dyDescent="0.2">
      <c r="E608" s="2">
        <f ca="1"/>
        <v>0.50335675492028686</v>
      </c>
      <c r="F608" s="2">
        <f t="shared" ca="1" si="27"/>
        <v>8.4142360802439645E-3</v>
      </c>
      <c r="G608" s="72">
        <f t="shared" ca="1" si="28"/>
        <v>2.1035590200609911E-3</v>
      </c>
      <c r="H608">
        <f t="shared" ca="1" si="29"/>
        <v>3868.1282839827022</v>
      </c>
    </row>
    <row r="609" spans="5:8" x14ac:dyDescent="0.2">
      <c r="E609" s="2">
        <f ca="1"/>
        <v>0.76132901776633433</v>
      </c>
      <c r="F609" s="2">
        <f t="shared" ca="1" si="27"/>
        <v>0.71058415550392251</v>
      </c>
      <c r="G609" s="72">
        <f t="shared" ca="1" si="28"/>
        <v>0.17764603887598063</v>
      </c>
      <c r="H609">
        <f t="shared" ca="1" si="29"/>
        <v>4610.3935510341616</v>
      </c>
    </row>
    <row r="610" spans="5:8" x14ac:dyDescent="0.2">
      <c r="E610" s="2">
        <f ca="1"/>
        <v>0.49935086736818257</v>
      </c>
      <c r="F610" s="2">
        <f t="shared" ca="1" si="27"/>
        <v>-1.6271349268906624E-3</v>
      </c>
      <c r="G610" s="72">
        <f t="shared" ca="1" si="28"/>
        <v>-4.0678373172266561E-4</v>
      </c>
      <c r="H610">
        <f t="shared" ca="1" si="29"/>
        <v>3858.4301341151495</v>
      </c>
    </row>
    <row r="611" spans="5:8" x14ac:dyDescent="0.2">
      <c r="E611" s="2">
        <f ca="1"/>
        <v>0.58508268115655526</v>
      </c>
      <c r="F611" s="2">
        <f t="shared" ca="1" si="27"/>
        <v>0.21491365602936813</v>
      </c>
      <c r="G611" s="72">
        <f t="shared" ca="1" si="28"/>
        <v>5.3728414007342032E-2</v>
      </c>
      <c r="H611">
        <f t="shared" ca="1" si="29"/>
        <v>4073.0642269013138</v>
      </c>
    </row>
    <row r="612" spans="5:8" x14ac:dyDescent="0.2">
      <c r="E612" s="2">
        <f ca="1"/>
        <v>0.75356701919873759</v>
      </c>
      <c r="F612" s="2">
        <f t="shared" ca="1" si="27"/>
        <v>0.68575762546422558</v>
      </c>
      <c r="G612" s="72">
        <f t="shared" ca="1" si="28"/>
        <v>0.1714394063660564</v>
      </c>
      <c r="H612">
        <f t="shared" ca="1" si="29"/>
        <v>4581.867150554197</v>
      </c>
    </row>
    <row r="613" spans="5:8" x14ac:dyDescent="0.2">
      <c r="E613" s="2">
        <f ca="1"/>
        <v>0.35123019513447229</v>
      </c>
      <c r="F613" s="2">
        <f t="shared" ca="1" si="27"/>
        <v>-0.38200131361751055</v>
      </c>
      <c r="G613" s="72">
        <f t="shared" ca="1" si="28"/>
        <v>-9.5500328404377638E-2</v>
      </c>
      <c r="H613">
        <f t="shared" ca="1" si="29"/>
        <v>3508.4237238012724</v>
      </c>
    </row>
    <row r="614" spans="5:8" x14ac:dyDescent="0.2">
      <c r="E614" s="2">
        <f ca="1"/>
        <v>0.48544846648747786</v>
      </c>
      <c r="F614" s="2">
        <f t="shared" ca="1" si="27"/>
        <v>-3.6483377179080789E-2</v>
      </c>
      <c r="G614" s="72">
        <f t="shared" ca="1" si="28"/>
        <v>-9.1208442947701973E-3</v>
      </c>
      <c r="H614">
        <f t="shared" ca="1" si="29"/>
        <v>3824.9536103120831</v>
      </c>
    </row>
    <row r="615" spans="5:8" x14ac:dyDescent="0.2">
      <c r="E615" s="2">
        <f ca="1"/>
        <v>0.13106866400929995</v>
      </c>
      <c r="F615" s="2">
        <f t="shared" ca="1" si="27"/>
        <v>-1.1213537186088931</v>
      </c>
      <c r="G615" s="72">
        <f t="shared" ca="1" si="28"/>
        <v>-0.28033842965222328</v>
      </c>
      <c r="H615">
        <f t="shared" ca="1" si="29"/>
        <v>2916.3380997005593</v>
      </c>
    </row>
    <row r="616" spans="5:8" x14ac:dyDescent="0.2">
      <c r="E616" s="2">
        <f ca="1"/>
        <v>0.96526148370963205</v>
      </c>
      <c r="F616" s="2">
        <f t="shared" ca="1" si="27"/>
        <v>1.8153051202277095</v>
      </c>
      <c r="G616" s="72">
        <f t="shared" ca="1" si="28"/>
        <v>0.45382628005692738</v>
      </c>
      <c r="H616">
        <f t="shared" ca="1" si="29"/>
        <v>6076.8925011327965</v>
      </c>
    </row>
    <row r="617" spans="5:8" x14ac:dyDescent="0.2">
      <c r="E617" s="2">
        <f ca="1"/>
        <v>0.49737730489180088</v>
      </c>
      <c r="F617" s="2">
        <f t="shared" ca="1" si="27"/>
        <v>-6.5741690692426727E-3</v>
      </c>
      <c r="G617" s="72">
        <f t="shared" ca="1" si="28"/>
        <v>-1.6435422673106682E-3</v>
      </c>
      <c r="H617">
        <f t="shared" ca="1" si="29"/>
        <v>3853.6611373694054</v>
      </c>
    </row>
    <row r="618" spans="5:8" x14ac:dyDescent="0.2">
      <c r="E618" s="2">
        <f ca="1"/>
        <v>0.21149460275298027</v>
      </c>
      <c r="F618" s="2">
        <f t="shared" ca="1" si="27"/>
        <v>-0.80124606941729393</v>
      </c>
      <c r="G618" s="72">
        <f t="shared" ca="1" si="28"/>
        <v>-0.20031151735432348</v>
      </c>
      <c r="H618">
        <f t="shared" ca="1" si="29"/>
        <v>3159.3163716926429</v>
      </c>
    </row>
    <row r="619" spans="5:8" x14ac:dyDescent="0.2">
      <c r="E619" s="2">
        <f ca="1"/>
        <v>0.51002624036754662</v>
      </c>
      <c r="F619" s="2">
        <f t="shared" ca="1" si="27"/>
        <v>2.5134703831604165E-2</v>
      </c>
      <c r="G619" s="72">
        <f t="shared" ca="1" si="28"/>
        <v>6.2836759579010413E-3</v>
      </c>
      <c r="H619">
        <f t="shared" ca="1" si="29"/>
        <v>3884.3313543111553</v>
      </c>
    </row>
    <row r="620" spans="5:8" x14ac:dyDescent="0.2">
      <c r="E620" s="2">
        <f ca="1"/>
        <v>0.42579673701381049</v>
      </c>
      <c r="F620" s="2">
        <f t="shared" ca="1" si="27"/>
        <v>-0.18708565653997589</v>
      </c>
      <c r="G620" s="72">
        <f t="shared" ca="1" si="28"/>
        <v>-4.6771414134993972E-2</v>
      </c>
      <c r="H620">
        <f t="shared" ca="1" si="29"/>
        <v>3683.6192817687288</v>
      </c>
    </row>
    <row r="621" spans="5:8" x14ac:dyDescent="0.2">
      <c r="E621" s="2">
        <f ca="1"/>
        <v>0.43049700578311212</v>
      </c>
      <c r="F621" s="2">
        <f t="shared" ca="1" si="27"/>
        <v>-0.17510896817466287</v>
      </c>
      <c r="G621" s="72">
        <f t="shared" ca="1" si="28"/>
        <v>-4.3777242043665718E-2</v>
      </c>
      <c r="H621">
        <f t="shared" ca="1" si="29"/>
        <v>3694.6652002554256</v>
      </c>
    </row>
    <row r="622" spans="5:8" x14ac:dyDescent="0.2">
      <c r="E622" s="2">
        <f ca="1"/>
        <v>0.70001916074020976</v>
      </c>
      <c r="F622" s="2">
        <f t="shared" ca="1" si="27"/>
        <v>0.52445562177939731</v>
      </c>
      <c r="G622" s="72">
        <f t="shared" ca="1" si="28"/>
        <v>0.13111390544484933</v>
      </c>
      <c r="H622">
        <f t="shared" ca="1" si="29"/>
        <v>4400.7768797647086</v>
      </c>
    </row>
    <row r="623" spans="5:8" x14ac:dyDescent="0.2">
      <c r="E623" s="2">
        <f ca="1"/>
        <v>0.24893739058234154</v>
      </c>
      <c r="F623" s="2">
        <f t="shared" ca="1" si="27"/>
        <v>-0.67783742153673521</v>
      </c>
      <c r="G623" s="72">
        <f t="shared" ca="1" si="28"/>
        <v>-0.1694593553841838</v>
      </c>
      <c r="H623">
        <f t="shared" ca="1" si="29"/>
        <v>3258.3073022514095</v>
      </c>
    </row>
    <row r="624" spans="5:8" x14ac:dyDescent="0.2">
      <c r="E624" s="2">
        <f ca="1"/>
        <v>0.16898721541151085</v>
      </c>
      <c r="F624" s="2">
        <f t="shared" ca="1" si="27"/>
        <v>-0.95817517954812914</v>
      </c>
      <c r="G624" s="72">
        <f t="shared" ca="1" si="28"/>
        <v>-0.23954379488703229</v>
      </c>
      <c r="H624">
        <f t="shared" ca="1" si="29"/>
        <v>3037.769073433311</v>
      </c>
    </row>
    <row r="625" spans="5:8" x14ac:dyDescent="0.2">
      <c r="E625" s="2">
        <f ca="1"/>
        <v>5.4353800847637634E-2</v>
      </c>
      <c r="F625" s="2">
        <f t="shared" ca="1" si="27"/>
        <v>-1.6040292664999281</v>
      </c>
      <c r="G625" s="72">
        <f t="shared" ca="1" si="28"/>
        <v>-0.40100731662498201</v>
      </c>
      <c r="H625">
        <f t="shared" ca="1" si="29"/>
        <v>2584.8303233031229</v>
      </c>
    </row>
    <row r="626" spans="5:8" x14ac:dyDescent="0.2">
      <c r="E626" s="2">
        <f ca="1"/>
        <v>0.17383249118072519</v>
      </c>
      <c r="F626" s="2">
        <f t="shared" ca="1" si="27"/>
        <v>-0.93912809264852404</v>
      </c>
      <c r="G626" s="72">
        <f t="shared" ca="1" si="28"/>
        <v>-0.23478202316213101</v>
      </c>
      <c r="H626">
        <f t="shared" ca="1" si="29"/>
        <v>3052.268730945887</v>
      </c>
    </row>
    <row r="627" spans="5:8" x14ac:dyDescent="0.2">
      <c r="E627" s="2">
        <f ca="1"/>
        <v>0.84936824560788216</v>
      </c>
      <c r="F627" s="2">
        <f t="shared" ca="1" si="27"/>
        <v>1.0337276377954865</v>
      </c>
      <c r="G627" s="72">
        <f t="shared" ca="1" si="28"/>
        <v>0.25843190944887162</v>
      </c>
      <c r="H627">
        <f t="shared" ca="1" si="29"/>
        <v>4998.3061894217917</v>
      </c>
    </row>
    <row r="628" spans="5:8" x14ac:dyDescent="0.2">
      <c r="E628" s="2">
        <f ca="1"/>
        <v>0.49961448083252868</v>
      </c>
      <c r="F628" s="2">
        <f t="shared" ca="1" si="27"/>
        <v>-9.6635339599884546E-4</v>
      </c>
      <c r="G628" s="72">
        <f t="shared" ca="1" si="28"/>
        <v>-2.4158834899971136E-4</v>
      </c>
      <c r="H628">
        <f t="shared" ca="1" si="29"/>
        <v>3859.0675816081061</v>
      </c>
    </row>
    <row r="629" spans="5:8" x14ac:dyDescent="0.2">
      <c r="E629" s="2">
        <f ca="1"/>
        <v>0.7194396136899317</v>
      </c>
      <c r="F629" s="2">
        <f t="shared" ca="1" si="27"/>
        <v>0.58117758559471233</v>
      </c>
      <c r="G629" s="72">
        <f t="shared" ca="1" si="28"/>
        <v>0.14529439639867808</v>
      </c>
      <c r="H629">
        <f t="shared" ca="1" si="29"/>
        <v>4463.6266234269624</v>
      </c>
    </row>
    <row r="630" spans="5:8" x14ac:dyDescent="0.2">
      <c r="E630" s="2">
        <f ca="1"/>
        <v>0.8527084787498167</v>
      </c>
      <c r="F630" s="2">
        <f t="shared" ca="1" si="27"/>
        <v>1.048120608399139</v>
      </c>
      <c r="G630" s="72">
        <f t="shared" ca="1" si="28"/>
        <v>0.26203015209978475</v>
      </c>
      <c r="H630">
        <f t="shared" ca="1" si="29"/>
        <v>5016.3237041900247</v>
      </c>
    </row>
    <row r="631" spans="5:8" x14ac:dyDescent="0.2">
      <c r="E631" s="2">
        <f ca="1"/>
        <v>0.75895248331839738</v>
      </c>
      <c r="F631" s="2">
        <f t="shared" ca="1" si="27"/>
        <v>0.70293696512433901</v>
      </c>
      <c r="G631" s="72">
        <f t="shared" ca="1" si="28"/>
        <v>0.17573424128108475</v>
      </c>
      <c r="H631">
        <f t="shared" ca="1" si="29"/>
        <v>4601.5878317902607</v>
      </c>
    </row>
    <row r="632" spans="5:8" x14ac:dyDescent="0.2">
      <c r="E632" s="2">
        <f ca="1"/>
        <v>6.0590024944557452E-2</v>
      </c>
      <c r="F632" s="2">
        <f t="shared" ca="1" si="27"/>
        <v>-1.5498394741593042</v>
      </c>
      <c r="G632" s="72">
        <f t="shared" ca="1" si="28"/>
        <v>-0.38745986853982606</v>
      </c>
      <c r="H632">
        <f t="shared" ca="1" si="29"/>
        <v>2620.0864539957993</v>
      </c>
    </row>
    <row r="633" spans="5:8" x14ac:dyDescent="0.2">
      <c r="E633" s="2">
        <f ca="1"/>
        <v>0.40955541494300451</v>
      </c>
      <c r="F633" s="2">
        <f t="shared" ca="1" si="27"/>
        <v>-0.22868876211202249</v>
      </c>
      <c r="G633" s="72">
        <f t="shared" ca="1" si="28"/>
        <v>-5.7172190528005623E-2</v>
      </c>
      <c r="H633">
        <f t="shared" ca="1" si="29"/>
        <v>3645.5053322198287</v>
      </c>
    </row>
    <row r="634" spans="5:8" x14ac:dyDescent="0.2">
      <c r="E634" s="2">
        <f ca="1"/>
        <v>0.7335966374416909</v>
      </c>
      <c r="F634" s="2">
        <f t="shared" ca="1" si="27"/>
        <v>0.62372724821818593</v>
      </c>
      <c r="G634" s="72">
        <f t="shared" ca="1" si="28"/>
        <v>0.15593181205454648</v>
      </c>
      <c r="H634">
        <f t="shared" ca="1" si="29"/>
        <v>4511.3615129658847</v>
      </c>
    </row>
    <row r="635" spans="5:8" x14ac:dyDescent="0.2">
      <c r="E635" s="2">
        <f ca="1"/>
        <v>0.76460763915845775</v>
      </c>
      <c r="F635" s="2">
        <f t="shared" ca="1" si="27"/>
        <v>0.7212028449316551</v>
      </c>
      <c r="G635" s="72">
        <f t="shared" ca="1" si="28"/>
        <v>0.18030071123291377</v>
      </c>
      <c r="H635">
        <f t="shared" ca="1" si="29"/>
        <v>4622.6488951130095</v>
      </c>
    </row>
    <row r="636" spans="5:8" x14ac:dyDescent="0.2">
      <c r="E636" s="2">
        <f ca="1"/>
        <v>2.0825210554218154E-2</v>
      </c>
      <c r="F636" s="2">
        <f t="shared" ca="1" si="27"/>
        <v>-2.0369962169778528</v>
      </c>
      <c r="G636" s="72">
        <f t="shared" ca="1" si="28"/>
        <v>-0.50924905424446321</v>
      </c>
      <c r="H636">
        <f t="shared" ca="1" si="29"/>
        <v>2319.6542148168096</v>
      </c>
    </row>
    <row r="637" spans="5:8" x14ac:dyDescent="0.2">
      <c r="E637" s="2">
        <f ca="1"/>
        <v>0.80463994796634042</v>
      </c>
      <c r="F637" s="2">
        <f t="shared" ca="1" si="27"/>
        <v>0.85831218279243615</v>
      </c>
      <c r="G637" s="72">
        <f t="shared" ca="1" si="28"/>
        <v>0.21457804569810904</v>
      </c>
      <c r="H637">
        <f t="shared" ca="1" si="29"/>
        <v>4783.8479311438168</v>
      </c>
    </row>
    <row r="638" spans="5:8" x14ac:dyDescent="0.2">
      <c r="E638" s="2">
        <f ca="1"/>
        <v>0.77925272311461669</v>
      </c>
      <c r="F638" s="2">
        <f t="shared" ca="1" si="27"/>
        <v>0.76967188142064302</v>
      </c>
      <c r="G638" s="72">
        <f t="shared" ca="1" si="28"/>
        <v>0.19241797035516076</v>
      </c>
      <c r="H638">
        <f t="shared" ca="1" si="29"/>
        <v>4679.0034715751426</v>
      </c>
    </row>
    <row r="639" spans="5:8" x14ac:dyDescent="0.2">
      <c r="E639" s="2">
        <f ca="1"/>
        <v>0.44571333132058166</v>
      </c>
      <c r="F639" s="2">
        <f t="shared" ca="1" si="27"/>
        <v>-0.13649919278672334</v>
      </c>
      <c r="G639" s="72">
        <f t="shared" ca="1" si="28"/>
        <v>-3.4124798196680836E-2</v>
      </c>
      <c r="H639">
        <f t="shared" ca="1" si="29"/>
        <v>3730.5004191240364</v>
      </c>
    </row>
    <row r="640" spans="5:8" x14ac:dyDescent="0.2">
      <c r="E640" s="2">
        <f ca="1"/>
        <v>0.43364946853616493</v>
      </c>
      <c r="F640" s="2">
        <f t="shared" ca="1" si="27"/>
        <v>-0.16709037768814702</v>
      </c>
      <c r="G640" s="72">
        <f t="shared" ca="1" si="28"/>
        <v>-4.1772594422036756E-2</v>
      </c>
      <c r="H640">
        <f t="shared" ca="1" si="29"/>
        <v>3702.0791307380782</v>
      </c>
    </row>
    <row r="641" spans="5:8" x14ac:dyDescent="0.2">
      <c r="E641" s="2">
        <f ca="1"/>
        <v>0.7796150422036292</v>
      </c>
      <c r="F641" s="2">
        <f t="shared" ca="1" si="27"/>
        <v>0.77089374396493715</v>
      </c>
      <c r="G641" s="72">
        <f t="shared" ca="1" si="28"/>
        <v>0.19272343599123429</v>
      </c>
      <c r="H641">
        <f t="shared" ca="1" si="29"/>
        <v>4680.4329646661699</v>
      </c>
    </row>
    <row r="642" spans="5:8" x14ac:dyDescent="0.2">
      <c r="E642" s="2">
        <f ca="1"/>
        <v>0.53813869959554972</v>
      </c>
      <c r="F642" s="2">
        <f t="shared" ca="1" si="27"/>
        <v>9.5745628786898462E-2</v>
      </c>
      <c r="G642" s="72">
        <f t="shared" ca="1" si="28"/>
        <v>2.3936407196724616E-2</v>
      </c>
      <c r="H642">
        <f t="shared" ca="1" si="29"/>
        <v>3953.5092043304671</v>
      </c>
    </row>
    <row r="643" spans="5:8" x14ac:dyDescent="0.2">
      <c r="E643" s="2">
        <f ca="1"/>
        <v>0.45100345907685058</v>
      </c>
      <c r="F643" s="2">
        <f t="shared" ca="1" si="27"/>
        <v>-0.1231265111366777</v>
      </c>
      <c r="G643" s="72">
        <f t="shared" ca="1" si="28"/>
        <v>-3.0781627784169426E-2</v>
      </c>
      <c r="H643">
        <f t="shared" ca="1" si="29"/>
        <v>3742.9929885077181</v>
      </c>
    </row>
    <row r="644" spans="5:8" x14ac:dyDescent="0.2">
      <c r="E644" s="2">
        <f ca="1"/>
        <v>9.0154106898188591E-2</v>
      </c>
      <c r="F644" s="2">
        <f t="shared" ca="1" si="27"/>
        <v>-1.3398066478962358</v>
      </c>
      <c r="G644" s="72">
        <f t="shared" ca="1" si="28"/>
        <v>-0.33495166197405896</v>
      </c>
      <c r="H644">
        <f t="shared" ca="1" si="29"/>
        <v>2761.3384877463632</v>
      </c>
    </row>
    <row r="645" spans="5:8" x14ac:dyDescent="0.2">
      <c r="E645" s="2">
        <f ca="1"/>
        <v>0.64596536368714963</v>
      </c>
      <c r="F645" s="2">
        <f t="shared" ca="1" si="27"/>
        <v>0.37445037210687376</v>
      </c>
      <c r="G645" s="72">
        <f t="shared" ca="1" si="28"/>
        <v>9.3612593026718441E-2</v>
      </c>
      <c r="H645">
        <f t="shared" ca="1" si="29"/>
        <v>4238.7981611450132</v>
      </c>
    </row>
    <row r="646" spans="5:8" x14ac:dyDescent="0.2">
      <c r="E646" s="2">
        <f ca="1"/>
        <v>0.43994942045087715</v>
      </c>
      <c r="F646" s="2">
        <f t="shared" ca="1" si="27"/>
        <v>-0.1510974539433815</v>
      </c>
      <c r="G646" s="72">
        <f t="shared" ca="1" si="28"/>
        <v>-3.7774363485845376E-2</v>
      </c>
      <c r="H646">
        <f t="shared" ca="1" si="29"/>
        <v>3716.9105279647301</v>
      </c>
    </row>
    <row r="647" spans="5:8" x14ac:dyDescent="0.2">
      <c r="E647" s="2">
        <f ca="1"/>
        <v>0.59266960839689942</v>
      </c>
      <c r="F647" s="2">
        <f t="shared" ca="1" si="27"/>
        <v>0.23441761703929029</v>
      </c>
      <c r="G647" s="72">
        <f t="shared" ca="1" si="28"/>
        <v>5.8604404259822572E-2</v>
      </c>
      <c r="H647">
        <f t="shared" ca="1" si="29"/>
        <v>4092.9729462856399</v>
      </c>
    </row>
    <row r="648" spans="5:8" x14ac:dyDescent="0.2">
      <c r="E648" s="2">
        <f ca="1"/>
        <v>0.74312920314179753</v>
      </c>
      <c r="F648" s="2">
        <f t="shared" ca="1" si="27"/>
        <v>0.6530227784810595</v>
      </c>
      <c r="G648" s="72">
        <f t="shared" ca="1" si="28"/>
        <v>0.16325569462026487</v>
      </c>
      <c r="H648">
        <f t="shared" ca="1" si="29"/>
        <v>4544.523483856754</v>
      </c>
    </row>
    <row r="649" spans="5:8" x14ac:dyDescent="0.2">
      <c r="E649" s="2">
        <f ca="1"/>
        <v>0.61486239089767314</v>
      </c>
      <c r="F649" s="2">
        <f t="shared" ca="1" si="27"/>
        <v>0.29201491764168358</v>
      </c>
      <c r="G649" s="72">
        <f t="shared" ca="1" si="28"/>
        <v>7.3003729410420895E-2</v>
      </c>
      <c r="H649">
        <f t="shared" ca="1" si="29"/>
        <v>4152.3353582246355</v>
      </c>
    </row>
    <row r="650" spans="5:8" x14ac:dyDescent="0.2">
      <c r="E650" s="2">
        <f ca="1"/>
        <v>0.24605167289622032</v>
      </c>
      <c r="F650" s="2">
        <f t="shared" ca="1" si="27"/>
        <v>-0.6869672828825697</v>
      </c>
      <c r="G650" s="72">
        <f t="shared" ca="1" si="28"/>
        <v>-0.17174182072064242</v>
      </c>
      <c r="H650">
        <f t="shared" ca="1" si="29"/>
        <v>3250.878809641918</v>
      </c>
    </row>
    <row r="651" spans="5:8" x14ac:dyDescent="0.2">
      <c r="E651" s="2">
        <f ca="1"/>
        <v>0.19441604526880041</v>
      </c>
      <c r="F651" s="2">
        <f t="shared" ca="1" si="27"/>
        <v>-0.86173730788721858</v>
      </c>
      <c r="G651" s="72">
        <f t="shared" ca="1" si="28"/>
        <v>-0.21543432697180465</v>
      </c>
      <c r="H651">
        <f t="shared" ca="1" si="29"/>
        <v>3111.8980842563833</v>
      </c>
    </row>
    <row r="652" spans="5:8" x14ac:dyDescent="0.2">
      <c r="E652" s="2">
        <f ca="1"/>
        <v>0.10822278767617033</v>
      </c>
      <c r="F652" s="2">
        <f t="shared" ca="1" si="27"/>
        <v>-1.2360349427490331</v>
      </c>
      <c r="G652" s="72">
        <f t="shared" ca="1" si="28"/>
        <v>-0.30900873568725828</v>
      </c>
      <c r="H652">
        <f t="shared" ca="1" si="29"/>
        <v>2833.91301601542</v>
      </c>
    </row>
    <row r="653" spans="5:8" x14ac:dyDescent="0.2">
      <c r="E653" s="2">
        <f ca="1"/>
        <v>0.27550616719369891</v>
      </c>
      <c r="F653" s="2">
        <f t="shared" ca="1" si="27"/>
        <v>-0.59624385199594931</v>
      </c>
      <c r="G653" s="72">
        <f t="shared" ca="1" si="28"/>
        <v>-0.14906096299898733</v>
      </c>
      <c r="H653">
        <f t="shared" ca="1" si="29"/>
        <v>3325.4540476786087</v>
      </c>
    </row>
    <row r="654" spans="5:8" x14ac:dyDescent="0.2">
      <c r="E654" s="2">
        <f ca="1"/>
        <v>0.56829160297346659</v>
      </c>
      <c r="F654" s="2">
        <f t="shared" ca="1" si="27"/>
        <v>0.1720263747226371</v>
      </c>
      <c r="G654" s="72">
        <f t="shared" ca="1" si="28"/>
        <v>4.3006593680659275E-2</v>
      </c>
      <c r="H654">
        <f t="shared" ca="1" si="29"/>
        <v>4029.6268441083535</v>
      </c>
    </row>
    <row r="655" spans="5:8" x14ac:dyDescent="0.2">
      <c r="E655" s="2">
        <f ca="1"/>
        <v>0.47433244364916671</v>
      </c>
      <c r="F655" s="2">
        <f t="shared" ca="1" si="27"/>
        <v>-6.4383475585656172E-2</v>
      </c>
      <c r="G655" s="72">
        <f t="shared" ca="1" si="28"/>
        <v>-1.6095868896414043E-2</v>
      </c>
      <c r="H655">
        <f t="shared" ca="1" si="29"/>
        <v>3798.3672926772156</v>
      </c>
    </row>
    <row r="656" spans="5:8" x14ac:dyDescent="0.2">
      <c r="E656" s="2">
        <f ca="1"/>
        <v>0.38482235014468302</v>
      </c>
      <c r="F656" s="2">
        <f t="shared" ca="1" si="27"/>
        <v>-0.2928396754766448</v>
      </c>
      <c r="G656" s="72">
        <f t="shared" ca="1" si="28"/>
        <v>-7.32099188691612E-2</v>
      </c>
      <c r="H656">
        <f t="shared" ca="1" si="29"/>
        <v>3587.5060396396807</v>
      </c>
    </row>
    <row r="657" spans="5:8" x14ac:dyDescent="0.2">
      <c r="E657" s="2">
        <f ca="1"/>
        <v>0.21207686828547323</v>
      </c>
      <c r="F657" s="2">
        <f t="shared" ca="1" si="27"/>
        <v>-0.79923573185504748</v>
      </c>
      <c r="G657" s="72">
        <f t="shared" ca="1" si="28"/>
        <v>-0.19980893296376187</v>
      </c>
      <c r="H657">
        <f t="shared" ca="1" si="29"/>
        <v>3160.9045938603053</v>
      </c>
    </row>
    <row r="658" spans="5:8" x14ac:dyDescent="0.2">
      <c r="E658" s="2">
        <f ca="1"/>
        <v>0.51508804129803298</v>
      </c>
      <c r="F658" s="2">
        <f t="shared" ca="1" si="27"/>
        <v>3.7829131510214234E-2</v>
      </c>
      <c r="G658" s="72">
        <f t="shared" ca="1" si="28"/>
        <v>9.4572828775535585E-3</v>
      </c>
      <c r="H658">
        <f t="shared" ca="1" si="29"/>
        <v>3896.6782769520282</v>
      </c>
    </row>
    <row r="659" spans="5:8" x14ac:dyDescent="0.2">
      <c r="E659" s="2">
        <f ca="1"/>
        <v>0.10982248288171781</v>
      </c>
      <c r="F659" s="2">
        <f t="shared" ref="F659:F722" ca="1" si="30">_xlfn.NORM.S.INV(E659)</f>
        <v>-1.2274727285596363</v>
      </c>
      <c r="G659" s="72">
        <f t="shared" ref="G659:G722" ca="1" si="31">$G$12+$G$13*F659</f>
        <v>-0.30686818213990907</v>
      </c>
      <c r="H659">
        <f t="shared" ref="H659:H722" ca="1" si="32">$G$11*EXP(G659)</f>
        <v>2839.9856556611785</v>
      </c>
    </row>
    <row r="660" spans="5:8" x14ac:dyDescent="0.2">
      <c r="E660" s="2">
        <f ca="1"/>
        <v>0.81378624762061524</v>
      </c>
      <c r="F660" s="2">
        <f t="shared" ca="1" si="30"/>
        <v>0.89193550103230201</v>
      </c>
      <c r="G660" s="72">
        <f t="shared" ca="1" si="31"/>
        <v>0.2229838752580755</v>
      </c>
      <c r="H660">
        <f t="shared" ca="1" si="32"/>
        <v>4824.2296245360467</v>
      </c>
    </row>
    <row r="661" spans="5:8" x14ac:dyDescent="0.2">
      <c r="E661" s="2">
        <f ca="1"/>
        <v>0.74307376022509297</v>
      </c>
      <c r="F661" s="2">
        <f t="shared" ca="1" si="30"/>
        <v>0.65285078514743866</v>
      </c>
      <c r="G661" s="72">
        <f t="shared" ca="1" si="31"/>
        <v>0.16321269628685967</v>
      </c>
      <c r="H661">
        <f t="shared" ca="1" si="32"/>
        <v>4544.3280811218538</v>
      </c>
    </row>
    <row r="662" spans="5:8" x14ac:dyDescent="0.2">
      <c r="E662" s="2">
        <f ca="1"/>
        <v>0.9834438365781295</v>
      </c>
      <c r="F662" s="2">
        <f t="shared" ca="1" si="30"/>
        <v>2.1307186602639754</v>
      </c>
      <c r="G662" s="72">
        <f t="shared" ca="1" si="31"/>
        <v>0.53267966506599385</v>
      </c>
      <c r="H662">
        <f t="shared" ca="1" si="32"/>
        <v>6575.4751955699003</v>
      </c>
    </row>
    <row r="663" spans="5:8" x14ac:dyDescent="0.2">
      <c r="E663" s="2">
        <f ca="1"/>
        <v>0.14063455767281252</v>
      </c>
      <c r="F663" s="2">
        <f t="shared" ca="1" si="30"/>
        <v>-1.0774727567014277</v>
      </c>
      <c r="G663" s="72">
        <f t="shared" ca="1" si="31"/>
        <v>-0.26936818917535693</v>
      </c>
      <c r="H663">
        <f t="shared" ca="1" si="32"/>
        <v>2948.5071585036599</v>
      </c>
    </row>
    <row r="664" spans="5:8" x14ac:dyDescent="0.2">
      <c r="E664" s="2">
        <f ca="1"/>
        <v>0.34241648218525267</v>
      </c>
      <c r="F664" s="2">
        <f t="shared" ca="1" si="30"/>
        <v>-0.40587701899987672</v>
      </c>
      <c r="G664" s="72">
        <f t="shared" ca="1" si="31"/>
        <v>-0.10146925474996918</v>
      </c>
      <c r="H664">
        <f t="shared" ca="1" si="32"/>
        <v>3487.5445760426364</v>
      </c>
    </row>
    <row r="665" spans="5:8" x14ac:dyDescent="0.2">
      <c r="E665" s="2">
        <f ca="1"/>
        <v>0.41642103210809145</v>
      </c>
      <c r="F665" s="2">
        <f t="shared" ca="1" si="30"/>
        <v>-0.21105793449525528</v>
      </c>
      <c r="G665" s="72">
        <f t="shared" ca="1" si="31"/>
        <v>-5.2764483623813821E-2</v>
      </c>
      <c r="H665">
        <f t="shared" ca="1" si="32"/>
        <v>3661.6091155485469</v>
      </c>
    </row>
    <row r="666" spans="5:8" x14ac:dyDescent="0.2">
      <c r="E666" s="2">
        <f ca="1"/>
        <v>0.65901044395842923</v>
      </c>
      <c r="F666" s="2">
        <f t="shared" ca="1" si="30"/>
        <v>0.40976395199301369</v>
      </c>
      <c r="G666" s="72">
        <f t="shared" ca="1" si="31"/>
        <v>0.10244098799825342</v>
      </c>
      <c r="H666">
        <f t="shared" ca="1" si="32"/>
        <v>4276.3856198499543</v>
      </c>
    </row>
    <row r="667" spans="5:8" x14ac:dyDescent="0.2">
      <c r="E667" s="2">
        <f ca="1"/>
        <v>0.96687312408682136</v>
      </c>
      <c r="F667" s="2">
        <f t="shared" ca="1" si="30"/>
        <v>1.8367030022334099</v>
      </c>
      <c r="G667" s="72">
        <f t="shared" ca="1" si="31"/>
        <v>0.45917575055835247</v>
      </c>
      <c r="H667">
        <f t="shared" ca="1" si="32"/>
        <v>6109.4877642762058</v>
      </c>
    </row>
    <row r="668" spans="5:8" x14ac:dyDescent="0.2">
      <c r="E668" s="2">
        <f ca="1"/>
        <v>0.38495877276676804</v>
      </c>
      <c r="F668" s="2">
        <f t="shared" ca="1" si="30"/>
        <v>-0.29248275199781421</v>
      </c>
      <c r="G668" s="72">
        <f t="shared" ca="1" si="31"/>
        <v>-7.3120687999453551E-2</v>
      </c>
      <c r="H668">
        <f t="shared" ca="1" si="32"/>
        <v>3587.8261702062309</v>
      </c>
    </row>
    <row r="669" spans="5:8" x14ac:dyDescent="0.2">
      <c r="E669" s="2">
        <f ca="1"/>
        <v>0.26084462255374841</v>
      </c>
      <c r="F669" s="2">
        <f t="shared" ca="1" si="30"/>
        <v>-0.64074365653781973</v>
      </c>
      <c r="G669" s="72">
        <f t="shared" ca="1" si="31"/>
        <v>-0.16018591413445493</v>
      </c>
      <c r="H669">
        <f t="shared" ca="1" si="32"/>
        <v>3288.6635595320781</v>
      </c>
    </row>
    <row r="670" spans="5:8" x14ac:dyDescent="0.2">
      <c r="E670" s="2">
        <f ca="1"/>
        <v>0.66702483167591664</v>
      </c>
      <c r="F670" s="2">
        <f t="shared" ca="1" si="30"/>
        <v>0.43171256137875419</v>
      </c>
      <c r="G670" s="72">
        <f t="shared" ca="1" si="31"/>
        <v>0.10792814034468855</v>
      </c>
      <c r="H670">
        <f t="shared" ca="1" si="32"/>
        <v>4299.9152956585122</v>
      </c>
    </row>
    <row r="671" spans="5:8" x14ac:dyDescent="0.2">
      <c r="E671" s="2">
        <f ca="1"/>
        <v>0.44919760782489648</v>
      </c>
      <c r="F671" s="2">
        <f t="shared" ca="1" si="30"/>
        <v>-0.12768884825537516</v>
      </c>
      <c r="G671" s="72">
        <f t="shared" ca="1" si="31"/>
        <v>-3.192221206384379E-2</v>
      </c>
      <c r="H671">
        <f t="shared" ca="1" si="32"/>
        <v>3738.7262233113138</v>
      </c>
    </row>
    <row r="672" spans="5:8" x14ac:dyDescent="0.2">
      <c r="E672" s="2">
        <f ca="1"/>
        <v>0.77873192945795333</v>
      </c>
      <c r="F672" s="2">
        <f t="shared" ca="1" si="30"/>
        <v>0.76791759900419609</v>
      </c>
      <c r="G672" s="72">
        <f t="shared" ca="1" si="31"/>
        <v>0.19197939975104902</v>
      </c>
      <c r="H672">
        <f t="shared" ca="1" si="32"/>
        <v>4676.9518481197265</v>
      </c>
    </row>
    <row r="673" spans="5:8" x14ac:dyDescent="0.2">
      <c r="E673" s="2">
        <f ca="1"/>
        <v>0.40367641213251604</v>
      </c>
      <c r="F673" s="2">
        <f t="shared" ca="1" si="30"/>
        <v>-0.24384247300943351</v>
      </c>
      <c r="G673" s="72">
        <f t="shared" ca="1" si="31"/>
        <v>-6.0960618252358378E-2</v>
      </c>
      <c r="H673">
        <f t="shared" ca="1" si="32"/>
        <v>3631.7207262283218</v>
      </c>
    </row>
    <row r="674" spans="5:8" x14ac:dyDescent="0.2">
      <c r="E674" s="2">
        <f ca="1"/>
        <v>0.22547216002829207</v>
      </c>
      <c r="F674" s="2">
        <f t="shared" ca="1" si="30"/>
        <v>-0.75384163525697767</v>
      </c>
      <c r="G674" s="72">
        <f t="shared" ca="1" si="31"/>
        <v>-0.18846040881424442</v>
      </c>
      <c r="H674">
        <f t="shared" ca="1" si="32"/>
        <v>3196.9805130169666</v>
      </c>
    </row>
    <row r="675" spans="5:8" x14ac:dyDescent="0.2">
      <c r="E675" s="2">
        <f ca="1"/>
        <v>0.89023607443417041</v>
      </c>
      <c r="F675" s="2">
        <f t="shared" ca="1" si="30"/>
        <v>1.2277845655585935</v>
      </c>
      <c r="G675" s="72">
        <f t="shared" ca="1" si="31"/>
        <v>0.30694614138964837</v>
      </c>
      <c r="H675">
        <f t="shared" ca="1" si="32"/>
        <v>5246.773545215945</v>
      </c>
    </row>
    <row r="676" spans="5:8" x14ac:dyDescent="0.2">
      <c r="E676" s="2">
        <f ca="1"/>
        <v>0.1418293235384962</v>
      </c>
      <c r="F676" s="2">
        <f t="shared" ca="1" si="30"/>
        <v>-1.0721366773640006</v>
      </c>
      <c r="G676" s="72">
        <f t="shared" ca="1" si="31"/>
        <v>-0.26803416934100016</v>
      </c>
      <c r="H676">
        <f t="shared" ca="1" si="32"/>
        <v>2952.4431502966959</v>
      </c>
    </row>
    <row r="677" spans="5:8" x14ac:dyDescent="0.2">
      <c r="E677" s="2">
        <f ca="1"/>
        <v>0.10136120789834857</v>
      </c>
      <c r="F677" s="2">
        <f t="shared" ca="1" si="30"/>
        <v>-1.2738335401050369</v>
      </c>
      <c r="G677" s="72">
        <f t="shared" ca="1" si="31"/>
        <v>-0.31845838502625923</v>
      </c>
      <c r="H677">
        <f t="shared" ca="1" si="32"/>
        <v>2807.2596625148976</v>
      </c>
    </row>
    <row r="678" spans="5:8" x14ac:dyDescent="0.2">
      <c r="E678" s="2">
        <f ca="1"/>
        <v>0.4714492057938473</v>
      </c>
      <c r="F678" s="2">
        <f t="shared" ca="1" si="30"/>
        <v>-7.1627428197234555E-2</v>
      </c>
      <c r="G678" s="72">
        <f t="shared" ca="1" si="31"/>
        <v>-1.7906857049308639E-2</v>
      </c>
      <c r="H678">
        <f t="shared" ca="1" si="32"/>
        <v>3791.4947194624897</v>
      </c>
    </row>
    <row r="679" spans="5:8" x14ac:dyDescent="0.2">
      <c r="E679" s="2">
        <f ca="1"/>
        <v>0.86399663603173438</v>
      </c>
      <c r="F679" s="2">
        <f t="shared" ca="1" si="30"/>
        <v>1.0984530049275214</v>
      </c>
      <c r="G679" s="72">
        <f t="shared" ca="1" si="31"/>
        <v>0.27461325123188035</v>
      </c>
      <c r="H679">
        <f t="shared" ca="1" si="32"/>
        <v>5079.8434018543339</v>
      </c>
    </row>
    <row r="680" spans="5:8" x14ac:dyDescent="0.2">
      <c r="E680" s="2">
        <f ca="1"/>
        <v>0.6921553227686752</v>
      </c>
      <c r="F680" s="2">
        <f t="shared" ca="1" si="30"/>
        <v>0.50196896144013115</v>
      </c>
      <c r="G680" s="72">
        <f t="shared" ca="1" si="31"/>
        <v>0.12549224036003279</v>
      </c>
      <c r="H680">
        <f t="shared" ca="1" si="32"/>
        <v>4376.1065950442498</v>
      </c>
    </row>
    <row r="681" spans="5:8" x14ac:dyDescent="0.2">
      <c r="E681" s="2">
        <f ca="1"/>
        <v>0.74363937289893611</v>
      </c>
      <c r="F681" s="2">
        <f t="shared" ca="1" si="30"/>
        <v>0.65460631963168026</v>
      </c>
      <c r="G681" s="72">
        <f t="shared" ca="1" si="31"/>
        <v>0.16365157990792006</v>
      </c>
      <c r="H681">
        <f t="shared" ca="1" si="32"/>
        <v>4546.3229500110028</v>
      </c>
    </row>
    <row r="682" spans="5:8" x14ac:dyDescent="0.2">
      <c r="E682" s="2">
        <f ca="1"/>
        <v>0.77938628376800168</v>
      </c>
      <c r="F682" s="2">
        <f t="shared" ca="1" si="30"/>
        <v>0.77012215932382044</v>
      </c>
      <c r="G682" s="72">
        <f t="shared" ca="1" si="31"/>
        <v>0.19253053983095511</v>
      </c>
      <c r="H682">
        <f t="shared" ca="1" si="32"/>
        <v>4679.5302141901911</v>
      </c>
    </row>
    <row r="683" spans="5:8" x14ac:dyDescent="0.2">
      <c r="E683" s="2">
        <f ca="1"/>
        <v>0.63122748625967051</v>
      </c>
      <c r="F683" s="2">
        <f t="shared" ca="1" si="30"/>
        <v>0.33510613185203214</v>
      </c>
      <c r="G683" s="72">
        <f t="shared" ca="1" si="31"/>
        <v>8.3776532963008035E-2</v>
      </c>
      <c r="H683">
        <f t="shared" ca="1" si="32"/>
        <v>4197.3094649831783</v>
      </c>
    </row>
    <row r="684" spans="5:8" x14ac:dyDescent="0.2">
      <c r="E684" s="2">
        <f ca="1"/>
        <v>0.29318625790563368</v>
      </c>
      <c r="F684" s="2">
        <f t="shared" ca="1" si="30"/>
        <v>-0.54410021022826638</v>
      </c>
      <c r="G684" s="72">
        <f t="shared" ca="1" si="31"/>
        <v>-0.13602505255706659</v>
      </c>
      <c r="H684">
        <f t="shared" ca="1" si="32"/>
        <v>3369.0881560758835</v>
      </c>
    </row>
    <row r="685" spans="5:8" x14ac:dyDescent="0.2">
      <c r="E685" s="2">
        <f ca="1"/>
        <v>0.46385090133766305</v>
      </c>
      <c r="F685" s="2">
        <f t="shared" ca="1" si="30"/>
        <v>-9.0736707350487472E-2</v>
      </c>
      <c r="G685" s="72">
        <f t="shared" ca="1" si="31"/>
        <v>-2.2684176837621868E-2</v>
      </c>
      <c r="H685">
        <f t="shared" ca="1" si="32"/>
        <v>3773.4247341284399</v>
      </c>
    </row>
    <row r="686" spans="5:8" x14ac:dyDescent="0.2">
      <c r="E686" s="2">
        <f ca="1"/>
        <v>0.69200404570571639</v>
      </c>
      <c r="F686" s="2">
        <f t="shared" ca="1" si="30"/>
        <v>0.50153889915307626</v>
      </c>
      <c r="G686" s="72">
        <f t="shared" ca="1" si="31"/>
        <v>0.12538472478826906</v>
      </c>
      <c r="H686">
        <f t="shared" ca="1" si="32"/>
        <v>4375.636120733695</v>
      </c>
    </row>
    <row r="687" spans="5:8" x14ac:dyDescent="0.2">
      <c r="E687" s="2">
        <f ca="1"/>
        <v>0.26486338627359807</v>
      </c>
      <c r="F687" s="2">
        <f t="shared" ca="1" si="30"/>
        <v>-0.62842315479258914</v>
      </c>
      <c r="G687" s="72">
        <f t="shared" ca="1" si="31"/>
        <v>-0.15710578869814729</v>
      </c>
      <c r="H687">
        <f t="shared" ca="1" si="32"/>
        <v>3298.808671901882</v>
      </c>
    </row>
    <row r="688" spans="5:8" x14ac:dyDescent="0.2">
      <c r="E688" s="2">
        <f ca="1"/>
        <v>6.3709388473889517E-2</v>
      </c>
      <c r="F688" s="2">
        <f t="shared" ca="1" si="30"/>
        <v>-1.5243601182870294</v>
      </c>
      <c r="G688" s="72">
        <f t="shared" ca="1" si="31"/>
        <v>-0.38109002957175736</v>
      </c>
      <c r="H688">
        <f t="shared" ca="1" si="32"/>
        <v>2636.8292506380826</v>
      </c>
    </row>
    <row r="689" spans="5:8" x14ac:dyDescent="0.2">
      <c r="E689" s="2">
        <f ca="1"/>
        <v>0.44018179721204409</v>
      </c>
      <c r="F689" s="2">
        <f t="shared" ca="1" si="30"/>
        <v>-0.15050831071453954</v>
      </c>
      <c r="G689" s="72">
        <f t="shared" ca="1" si="31"/>
        <v>-3.7627077678634886E-2</v>
      </c>
      <c r="H689">
        <f t="shared" ca="1" si="32"/>
        <v>3717.4580164498229</v>
      </c>
    </row>
    <row r="690" spans="5:8" x14ac:dyDescent="0.2">
      <c r="E690" s="2">
        <f ca="1"/>
        <v>0.98624102879973496</v>
      </c>
      <c r="F690" s="2">
        <f t="shared" ca="1" si="30"/>
        <v>2.2040910365544191</v>
      </c>
      <c r="G690" s="72">
        <f t="shared" ca="1" si="31"/>
        <v>0.55102275913860477</v>
      </c>
      <c r="H690">
        <f t="shared" ca="1" si="32"/>
        <v>6697.2027727424556</v>
      </c>
    </row>
    <row r="691" spans="5:8" x14ac:dyDescent="0.2">
      <c r="E691" s="2">
        <f ca="1"/>
        <v>0.71178360023193421</v>
      </c>
      <c r="F691" s="2">
        <f t="shared" ca="1" si="30"/>
        <v>0.5586028426833306</v>
      </c>
      <c r="G691" s="72">
        <f t="shared" ca="1" si="31"/>
        <v>0.13965071067083265</v>
      </c>
      <c r="H691">
        <f t="shared" ca="1" si="32"/>
        <v>4438.5062699242244</v>
      </c>
    </row>
    <row r="692" spans="5:8" x14ac:dyDescent="0.2">
      <c r="E692" s="2">
        <f ca="1"/>
        <v>0.91751378831643948</v>
      </c>
      <c r="F692" s="2">
        <f t="shared" ca="1" si="30"/>
        <v>1.3885408214045842</v>
      </c>
      <c r="G692" s="72">
        <f t="shared" ca="1" si="31"/>
        <v>0.34713520535114606</v>
      </c>
      <c r="H692">
        <f t="shared" ca="1" si="32"/>
        <v>5461.9309923064757</v>
      </c>
    </row>
    <row r="693" spans="5:8" x14ac:dyDescent="0.2">
      <c r="E693" s="2">
        <f ca="1"/>
        <v>0.9427534074795747</v>
      </c>
      <c r="F693" s="2">
        <f t="shared" ca="1" si="30"/>
        <v>1.5783153333792181</v>
      </c>
      <c r="G693" s="72">
        <f t="shared" ca="1" si="31"/>
        <v>0.39457883334480454</v>
      </c>
      <c r="H693">
        <f t="shared" ca="1" si="32"/>
        <v>5727.3103167949957</v>
      </c>
    </row>
    <row r="694" spans="5:8" x14ac:dyDescent="0.2">
      <c r="E694" s="2">
        <f ca="1"/>
        <v>0.85982984952034336</v>
      </c>
      <c r="F694" s="2">
        <f t="shared" ca="1" si="30"/>
        <v>1.0795551985348442</v>
      </c>
      <c r="G694" s="72">
        <f t="shared" ca="1" si="31"/>
        <v>0.26988879963371104</v>
      </c>
      <c r="H694">
        <f t="shared" ca="1" si="32"/>
        <v>5055.9005305788314</v>
      </c>
    </row>
    <row r="695" spans="5:8" x14ac:dyDescent="0.2">
      <c r="E695" s="2">
        <f ca="1"/>
        <v>0.72752536501046383</v>
      </c>
      <c r="F695" s="2">
        <f t="shared" ca="1" si="30"/>
        <v>0.60534577867265904</v>
      </c>
      <c r="G695" s="72">
        <f t="shared" ca="1" si="31"/>
        <v>0.15133644466816476</v>
      </c>
      <c r="H695">
        <f t="shared" ca="1" si="32"/>
        <v>4490.677710635352</v>
      </c>
    </row>
    <row r="696" spans="5:8" x14ac:dyDescent="0.2">
      <c r="E696" s="2">
        <f ca="1"/>
        <v>0.93181853630736922</v>
      </c>
      <c r="F696" s="2">
        <f t="shared" ca="1" si="30"/>
        <v>1.4894727365880076</v>
      </c>
      <c r="G696" s="72">
        <f t="shared" ca="1" si="31"/>
        <v>0.3723681841470019</v>
      </c>
      <c r="H696">
        <f t="shared" ca="1" si="32"/>
        <v>5601.5053136251936</v>
      </c>
    </row>
    <row r="697" spans="5:8" x14ac:dyDescent="0.2">
      <c r="E697" s="2">
        <f ca="1"/>
        <v>0.84361086150345632</v>
      </c>
      <c r="F697" s="2">
        <f t="shared" ca="1" si="30"/>
        <v>1.0094095151455349</v>
      </c>
      <c r="G697" s="72">
        <f t="shared" ca="1" si="31"/>
        <v>0.25235237878638372</v>
      </c>
      <c r="H697">
        <f t="shared" ca="1" si="32"/>
        <v>4968.011017207722</v>
      </c>
    </row>
    <row r="698" spans="5:8" x14ac:dyDescent="0.2">
      <c r="E698" s="2">
        <f ca="1"/>
        <v>0.73579884806569118</v>
      </c>
      <c r="F698" s="2">
        <f t="shared" ca="1" si="30"/>
        <v>0.63044679309396634</v>
      </c>
      <c r="G698" s="72">
        <f t="shared" ca="1" si="31"/>
        <v>0.15761169827349159</v>
      </c>
      <c r="H698">
        <f t="shared" ca="1" si="32"/>
        <v>4518.9464561372115</v>
      </c>
    </row>
    <row r="699" spans="5:8" x14ac:dyDescent="0.2">
      <c r="E699" s="2">
        <f ca="1"/>
        <v>0.47982650875969624</v>
      </c>
      <c r="F699" s="2">
        <f t="shared" ca="1" si="30"/>
        <v>-5.0589013567628169E-2</v>
      </c>
      <c r="G699" s="72">
        <f t="shared" ca="1" si="31"/>
        <v>-1.2647253391907042E-2</v>
      </c>
      <c r="H699">
        <f t="shared" ca="1" si="32"/>
        <v>3811.4890138955134</v>
      </c>
    </row>
    <row r="700" spans="5:8" x14ac:dyDescent="0.2">
      <c r="E700" s="2">
        <f ca="1"/>
        <v>0.33610284965211945</v>
      </c>
      <c r="F700" s="2">
        <f t="shared" ca="1" si="30"/>
        <v>-0.42312275741769589</v>
      </c>
      <c r="G700" s="72">
        <f t="shared" ca="1" si="31"/>
        <v>-0.10578068935442397</v>
      </c>
      <c r="H700">
        <f t="shared" ca="1" si="32"/>
        <v>3472.5406231953634</v>
      </c>
    </row>
    <row r="701" spans="5:8" x14ac:dyDescent="0.2">
      <c r="E701" s="2">
        <f ca="1"/>
        <v>0.76863287874172581</v>
      </c>
      <c r="F701" s="2">
        <f t="shared" ca="1" si="30"/>
        <v>0.73435198466877505</v>
      </c>
      <c r="G701" s="72">
        <f t="shared" ca="1" si="31"/>
        <v>0.18358799616719376</v>
      </c>
      <c r="H701">
        <f t="shared" ca="1" si="32"/>
        <v>4637.8698633053054</v>
      </c>
    </row>
    <row r="702" spans="5:8" x14ac:dyDescent="0.2">
      <c r="E702" s="2">
        <f ca="1"/>
        <v>0.14746436202899948</v>
      </c>
      <c r="F702" s="2">
        <f t="shared" ca="1" si="30"/>
        <v>-1.0473705172508665</v>
      </c>
      <c r="G702" s="72">
        <f t="shared" ca="1" si="31"/>
        <v>-0.26184262931271662</v>
      </c>
      <c r="H702">
        <f t="shared" ca="1" si="32"/>
        <v>2970.7800284215368</v>
      </c>
    </row>
    <row r="703" spans="5:8" x14ac:dyDescent="0.2">
      <c r="E703" s="2">
        <f ca="1"/>
        <v>0.75042404625192249</v>
      </c>
      <c r="F703" s="2">
        <f t="shared" ca="1" si="30"/>
        <v>0.67582476781683709</v>
      </c>
      <c r="G703" s="72">
        <f t="shared" ca="1" si="31"/>
        <v>0.16895619195420927</v>
      </c>
      <c r="H703">
        <f t="shared" ca="1" si="32"/>
        <v>4570.5035070338054</v>
      </c>
    </row>
    <row r="704" spans="5:8" x14ac:dyDescent="0.2">
      <c r="E704" s="2">
        <f ca="1"/>
        <v>0.41760608089462381</v>
      </c>
      <c r="F704" s="2">
        <f t="shared" ca="1" si="30"/>
        <v>-0.20802152329050444</v>
      </c>
      <c r="G704" s="72">
        <f t="shared" ca="1" si="31"/>
        <v>-5.200538082262611E-2</v>
      </c>
      <c r="H704">
        <f t="shared" ca="1" si="32"/>
        <v>3664.3897085294511</v>
      </c>
    </row>
    <row r="705" spans="5:8" x14ac:dyDescent="0.2">
      <c r="E705" s="2">
        <f ca="1"/>
        <v>0.51538872898306987</v>
      </c>
      <c r="F705" s="2">
        <f t="shared" ca="1" si="30"/>
        <v>3.8583394085878721E-2</v>
      </c>
      <c r="G705" s="72">
        <f t="shared" ca="1" si="31"/>
        <v>9.6458485214696802E-3</v>
      </c>
      <c r="H705">
        <f t="shared" ca="1" si="32"/>
        <v>3897.4131258819098</v>
      </c>
    </row>
    <row r="706" spans="5:8" x14ac:dyDescent="0.2">
      <c r="E706" s="2">
        <f ca="1"/>
        <v>0.77200015541308908</v>
      </c>
      <c r="F706" s="2">
        <f t="shared" ca="1" si="30"/>
        <v>0.74545006251481083</v>
      </c>
      <c r="G706" s="72">
        <f t="shared" ca="1" si="31"/>
        <v>0.18636251562870271</v>
      </c>
      <c r="H706">
        <f t="shared" ca="1" si="32"/>
        <v>4650.7555910860947</v>
      </c>
    </row>
    <row r="707" spans="5:8" x14ac:dyDescent="0.2">
      <c r="E707" s="2">
        <f ca="1"/>
        <v>0.48197768762784277</v>
      </c>
      <c r="F707" s="2">
        <f t="shared" ca="1" si="30"/>
        <v>-4.5190614371404293E-2</v>
      </c>
      <c r="G707" s="72">
        <f t="shared" ca="1" si="31"/>
        <v>-1.1297653592851073E-2</v>
      </c>
      <c r="H707">
        <f t="shared" ca="1" si="32"/>
        <v>3816.6364714252877</v>
      </c>
    </row>
    <row r="708" spans="5:8" x14ac:dyDescent="0.2">
      <c r="E708" s="2">
        <f ca="1"/>
        <v>8.4374102093888181E-2</v>
      </c>
      <c r="F708" s="2">
        <f t="shared" ca="1" si="30"/>
        <v>-1.3762372139794283</v>
      </c>
      <c r="G708" s="72">
        <f t="shared" ca="1" si="31"/>
        <v>-0.34405930349485708</v>
      </c>
      <c r="H708">
        <f t="shared" ca="1" si="32"/>
        <v>2736.3033851056316</v>
      </c>
    </row>
    <row r="709" spans="5:8" x14ac:dyDescent="0.2">
      <c r="E709" s="2">
        <f ca="1"/>
        <v>0.43737351516374501</v>
      </c>
      <c r="F709" s="2">
        <f t="shared" ca="1" si="30"/>
        <v>-0.15763169052664019</v>
      </c>
      <c r="G709" s="72">
        <f t="shared" ca="1" si="31"/>
        <v>-3.9407922631660049E-2</v>
      </c>
      <c r="H709">
        <f t="shared" ca="1" si="32"/>
        <v>3710.8436913949013</v>
      </c>
    </row>
    <row r="710" spans="5:8" x14ac:dyDescent="0.2">
      <c r="E710" s="2">
        <f ca="1"/>
        <v>0.19519845230137256</v>
      </c>
      <c r="F710" s="2">
        <f t="shared" ca="1" si="30"/>
        <v>-0.8588977976249148</v>
      </c>
      <c r="G710" s="72">
        <f t="shared" ca="1" si="31"/>
        <v>-0.2147244494062287</v>
      </c>
      <c r="H710">
        <f t="shared" ca="1" si="32"/>
        <v>3114.1079351617459</v>
      </c>
    </row>
    <row r="711" spans="5:8" x14ac:dyDescent="0.2">
      <c r="E711" s="2">
        <f ca="1"/>
        <v>7.7754925346174453E-2</v>
      </c>
      <c r="F711" s="2">
        <f t="shared" ca="1" si="30"/>
        <v>-1.420336118901985</v>
      </c>
      <c r="G711" s="72">
        <f t="shared" ca="1" si="31"/>
        <v>-0.35508402972549624</v>
      </c>
      <c r="H711">
        <f t="shared" ca="1" si="32"/>
        <v>2706.3020714100589</v>
      </c>
    </row>
    <row r="712" spans="5:8" x14ac:dyDescent="0.2">
      <c r="E712" s="2">
        <f ca="1"/>
        <v>9.7789226836930254E-2</v>
      </c>
      <c r="F712" s="2">
        <f t="shared" ca="1" si="30"/>
        <v>-1.294251816982003</v>
      </c>
      <c r="G712" s="72">
        <f t="shared" ca="1" si="31"/>
        <v>-0.32356295424550074</v>
      </c>
      <c r="H712">
        <f t="shared" ca="1" si="32"/>
        <v>2792.9663229581147</v>
      </c>
    </row>
    <row r="713" spans="5:8" x14ac:dyDescent="0.2">
      <c r="E713" s="2">
        <f ca="1"/>
        <v>0.19405141024822381</v>
      </c>
      <c r="F713" s="2">
        <f t="shared" ca="1" si="30"/>
        <v>-0.86306301661137308</v>
      </c>
      <c r="G713" s="72">
        <f t="shared" ca="1" si="31"/>
        <v>-0.21576575415284327</v>
      </c>
      <c r="H713">
        <f t="shared" ca="1" si="32"/>
        <v>3110.8668875393882</v>
      </c>
    </row>
    <row r="714" spans="5:8" x14ac:dyDescent="0.2">
      <c r="E714" s="2">
        <f ca="1"/>
        <v>0.22899141080572538</v>
      </c>
      <c r="F714" s="2">
        <f t="shared" ca="1" si="30"/>
        <v>-0.74217251051773669</v>
      </c>
      <c r="G714" s="72">
        <f t="shared" ca="1" si="31"/>
        <v>-0.18554312762943417</v>
      </c>
      <c r="H714">
        <f t="shared" ca="1" si="32"/>
        <v>3206.3206213528474</v>
      </c>
    </row>
    <row r="715" spans="5:8" x14ac:dyDescent="0.2">
      <c r="E715" s="2">
        <f ca="1"/>
        <v>0.25715892495209491</v>
      </c>
      <c r="F715" s="2">
        <f t="shared" ca="1" si="30"/>
        <v>-0.65212916672453325</v>
      </c>
      <c r="G715" s="72">
        <f t="shared" ca="1" si="31"/>
        <v>-0.16303229168113331</v>
      </c>
      <c r="H715">
        <f t="shared" ca="1" si="32"/>
        <v>3279.316090940998</v>
      </c>
    </row>
    <row r="716" spans="5:8" x14ac:dyDescent="0.2">
      <c r="E716" s="2">
        <f ca="1"/>
        <v>0.5447012678530494</v>
      </c>
      <c r="F716" s="2">
        <f t="shared" ca="1" si="30"/>
        <v>0.11228496286733095</v>
      </c>
      <c r="G716" s="72">
        <f t="shared" ca="1" si="31"/>
        <v>2.8071240716832736E-2</v>
      </c>
      <c r="H716">
        <f t="shared" ca="1" si="32"/>
        <v>3969.8901496128738</v>
      </c>
    </row>
    <row r="717" spans="5:8" x14ac:dyDescent="0.2">
      <c r="E717" s="2">
        <f ca="1"/>
        <v>0.68040805689543826</v>
      </c>
      <c r="F717" s="2">
        <f t="shared" ca="1" si="30"/>
        <v>0.46884016771081799</v>
      </c>
      <c r="G717" s="72">
        <f t="shared" ca="1" si="31"/>
        <v>0.1172100419277045</v>
      </c>
      <c r="H717">
        <f t="shared" ca="1" si="32"/>
        <v>4340.0124874658113</v>
      </c>
    </row>
    <row r="718" spans="5:8" x14ac:dyDescent="0.2">
      <c r="E718" s="2">
        <f ca="1"/>
        <v>0.61270010854813028</v>
      </c>
      <c r="F718" s="2">
        <f t="shared" ca="1" si="30"/>
        <v>0.28636342752059346</v>
      </c>
      <c r="G718" s="72">
        <f t="shared" ca="1" si="31"/>
        <v>7.1590856880148365E-2</v>
      </c>
      <c r="H718">
        <f t="shared" ca="1" si="32"/>
        <v>4146.4727801735071</v>
      </c>
    </row>
    <row r="719" spans="5:8" x14ac:dyDescent="0.2">
      <c r="E719" s="2">
        <f ca="1"/>
        <v>0.73668015590061597</v>
      </c>
      <c r="F719" s="2">
        <f t="shared" ca="1" si="30"/>
        <v>0.63314388222259133</v>
      </c>
      <c r="G719" s="72">
        <f t="shared" ca="1" si="31"/>
        <v>0.15828597055564783</v>
      </c>
      <c r="H719">
        <f t="shared" ca="1" si="32"/>
        <v>4521.9944839619911</v>
      </c>
    </row>
    <row r="720" spans="5:8" x14ac:dyDescent="0.2">
      <c r="E720" s="2">
        <f ca="1"/>
        <v>0.11372713128219591</v>
      </c>
      <c r="F720" s="2">
        <f t="shared" ca="1" si="30"/>
        <v>-1.2069425681102748</v>
      </c>
      <c r="G720" s="72">
        <f t="shared" ca="1" si="31"/>
        <v>-0.3017356420275687</v>
      </c>
      <c r="H720">
        <f t="shared" ca="1" si="32"/>
        <v>2854.5994668625071</v>
      </c>
    </row>
    <row r="721" spans="5:8" x14ac:dyDescent="0.2">
      <c r="E721" s="2">
        <f ca="1"/>
        <v>0.43187663472769589</v>
      </c>
      <c r="F721" s="2">
        <f t="shared" ca="1" si="30"/>
        <v>-0.17159839485525039</v>
      </c>
      <c r="G721" s="72">
        <f t="shared" ca="1" si="31"/>
        <v>-4.2899598713812596E-2</v>
      </c>
      <c r="H721">
        <f t="shared" ca="1" si="32"/>
        <v>3697.9092218632054</v>
      </c>
    </row>
    <row r="722" spans="5:8" x14ac:dyDescent="0.2">
      <c r="E722" s="2">
        <f ca="1"/>
        <v>6.3593037695643284E-2</v>
      </c>
      <c r="F722" s="2">
        <f t="shared" ca="1" si="30"/>
        <v>-1.5252928298021931</v>
      </c>
      <c r="G722" s="72">
        <f t="shared" ca="1" si="31"/>
        <v>-0.38132320745054826</v>
      </c>
      <c r="H722">
        <f t="shared" ca="1" si="32"/>
        <v>2636.2144720658521</v>
      </c>
    </row>
    <row r="723" spans="5:8" x14ac:dyDescent="0.2">
      <c r="E723" s="2">
        <f ca="1"/>
        <v>0.5898335230601246</v>
      </c>
      <c r="F723" s="2">
        <f t="shared" ref="F723:F786" ca="1" si="33">_xlfn.NORM.S.INV(E723)</f>
        <v>0.22711675753168076</v>
      </c>
      <c r="G723" s="72">
        <f t="shared" ref="G723:G786" ca="1" si="34">$G$12+$G$13*F723</f>
        <v>5.6779189382920189E-2</v>
      </c>
      <c r="H723">
        <f t="shared" ref="H723:H786" ca="1" si="35">$G$11*EXP(G723)</f>
        <v>4085.5092047114645</v>
      </c>
    </row>
    <row r="724" spans="5:8" x14ac:dyDescent="0.2">
      <c r="E724" s="2">
        <f ca="1"/>
        <v>0.47976990259039098</v>
      </c>
      <c r="F724" s="2">
        <f t="shared" ca="1" si="33"/>
        <v>-5.0731086386053094E-2</v>
      </c>
      <c r="G724" s="72">
        <f t="shared" ca="1" si="34"/>
        <v>-1.2682771596513273E-2</v>
      </c>
      <c r="H724">
        <f t="shared" ca="1" si="35"/>
        <v>3811.353639053013</v>
      </c>
    </row>
    <row r="725" spans="5:8" x14ac:dyDescent="0.2">
      <c r="E725" s="2">
        <f ca="1"/>
        <v>0.56498332098508319</v>
      </c>
      <c r="F725" s="2">
        <f t="shared" ca="1" si="33"/>
        <v>0.16361611462774858</v>
      </c>
      <c r="G725" s="72">
        <f t="shared" ca="1" si="34"/>
        <v>4.0904028656937146E-2</v>
      </c>
      <c r="H725">
        <f t="shared" ca="1" si="35"/>
        <v>4021.1631924542453</v>
      </c>
    </row>
    <row r="726" spans="5:8" x14ac:dyDescent="0.2">
      <c r="E726" s="2">
        <f ca="1"/>
        <v>0.29674771114212839</v>
      </c>
      <c r="F726" s="2">
        <f t="shared" ca="1" si="33"/>
        <v>-0.53377758690502086</v>
      </c>
      <c r="G726" s="72">
        <f t="shared" ca="1" si="34"/>
        <v>-0.13344439672625522</v>
      </c>
      <c r="H726">
        <f t="shared" ca="1" si="35"/>
        <v>3377.7938414277123</v>
      </c>
    </row>
    <row r="727" spans="5:8" x14ac:dyDescent="0.2">
      <c r="E727" s="2">
        <f ca="1"/>
        <v>0.87969970876756243</v>
      </c>
      <c r="F727" s="2">
        <f t="shared" ca="1" si="33"/>
        <v>1.1734869615406451</v>
      </c>
      <c r="G727" s="72">
        <f t="shared" ca="1" si="34"/>
        <v>0.29337174038516128</v>
      </c>
      <c r="H727">
        <f t="shared" ca="1" si="35"/>
        <v>5176.0329539541508</v>
      </c>
    </row>
    <row r="728" spans="5:8" x14ac:dyDescent="0.2">
      <c r="E728" s="2">
        <f ca="1"/>
        <v>0.469088685213636</v>
      </c>
      <c r="F728" s="2">
        <f t="shared" ca="1" si="33"/>
        <v>-7.7560869200032273E-2</v>
      </c>
      <c r="G728" s="72">
        <f t="shared" ca="1" si="34"/>
        <v>-1.9390217300008068E-2</v>
      </c>
      <c r="H728">
        <f t="shared" ca="1" si="35"/>
        <v>3785.8747361653163</v>
      </c>
    </row>
    <row r="729" spans="5:8" x14ac:dyDescent="0.2">
      <c r="E729" s="2">
        <f ca="1"/>
        <v>0.38371170886842054</v>
      </c>
      <c r="F729" s="2">
        <f t="shared" ca="1" si="33"/>
        <v>-0.29574684719815425</v>
      </c>
      <c r="G729" s="72">
        <f t="shared" ca="1" si="34"/>
        <v>-7.3936711799538563E-2</v>
      </c>
      <c r="H729">
        <f t="shared" ca="1" si="35"/>
        <v>3584.8996128933832</v>
      </c>
    </row>
    <row r="730" spans="5:8" x14ac:dyDescent="0.2">
      <c r="E730" s="2">
        <f ca="1"/>
        <v>0.24996546271029407</v>
      </c>
      <c r="F730" s="2">
        <f t="shared" ca="1" si="33"/>
        <v>-0.67459843837106515</v>
      </c>
      <c r="G730" s="72">
        <f t="shared" ca="1" si="34"/>
        <v>-0.16864960959276629</v>
      </c>
      <c r="H730">
        <f t="shared" ca="1" si="35"/>
        <v>3260.9467713818403</v>
      </c>
    </row>
    <row r="731" spans="5:8" x14ac:dyDescent="0.2">
      <c r="E731" s="2">
        <f ca="1"/>
        <v>0.23129602109470215</v>
      </c>
      <c r="F731" s="2">
        <f t="shared" ca="1" si="33"/>
        <v>-0.73458538386958694</v>
      </c>
      <c r="G731" s="72">
        <f t="shared" ca="1" si="34"/>
        <v>-0.18364634596739673</v>
      </c>
      <c r="H731">
        <f t="shared" ca="1" si="35"/>
        <v>3212.4080829777185</v>
      </c>
    </row>
    <row r="732" spans="5:8" x14ac:dyDescent="0.2">
      <c r="E732" s="2">
        <f ca="1"/>
        <v>2.3376423142475566E-2</v>
      </c>
      <c r="F732" s="2">
        <f t="shared" ca="1" si="33"/>
        <v>-1.9885323371703576</v>
      </c>
      <c r="G732" s="72">
        <f t="shared" ca="1" si="34"/>
        <v>-0.4971330842925894</v>
      </c>
      <c r="H732">
        <f t="shared" ca="1" si="35"/>
        <v>2347.9300241113119</v>
      </c>
    </row>
    <row r="733" spans="5:8" x14ac:dyDescent="0.2">
      <c r="E733" s="2">
        <f ca="1"/>
        <v>0.1244617932609462</v>
      </c>
      <c r="F733" s="2">
        <f t="shared" ca="1" si="33"/>
        <v>-1.1529678360212561</v>
      </c>
      <c r="G733" s="72">
        <f t="shared" ca="1" si="34"/>
        <v>-0.28824195900531402</v>
      </c>
      <c r="H733">
        <f t="shared" ca="1" si="35"/>
        <v>2893.3795820949495</v>
      </c>
    </row>
    <row r="734" spans="5:8" x14ac:dyDescent="0.2">
      <c r="E734" s="2">
        <f ca="1"/>
        <v>0.62461998932498197</v>
      </c>
      <c r="F734" s="2">
        <f t="shared" ca="1" si="33"/>
        <v>0.3176373733386012</v>
      </c>
      <c r="G734" s="72">
        <f t="shared" ca="1" si="34"/>
        <v>7.9409343334650301E-2</v>
      </c>
      <c r="H734">
        <f t="shared" ca="1" si="35"/>
        <v>4179.0189866844412</v>
      </c>
    </row>
    <row r="735" spans="5:8" x14ac:dyDescent="0.2">
      <c r="E735" s="2">
        <f ca="1"/>
        <v>2.1931437173305035E-2</v>
      </c>
      <c r="F735" s="2">
        <f t="shared" ca="1" si="33"/>
        <v>-2.015398854735305</v>
      </c>
      <c r="G735" s="72">
        <f t="shared" ca="1" si="34"/>
        <v>-0.50384971368382625</v>
      </c>
      <c r="H735">
        <f t="shared" ca="1" si="35"/>
        <v>2332.2126911411915</v>
      </c>
    </row>
    <row r="736" spans="5:8" x14ac:dyDescent="0.2">
      <c r="E736" s="2">
        <f ca="1"/>
        <v>2.973220365102569E-2</v>
      </c>
      <c r="F736" s="2">
        <f t="shared" ca="1" si="33"/>
        <v>-1.8847440111334959</v>
      </c>
      <c r="G736" s="72">
        <f t="shared" ca="1" si="34"/>
        <v>-0.47118600278337397</v>
      </c>
      <c r="H736">
        <f t="shared" ca="1" si="35"/>
        <v>2409.649209522177</v>
      </c>
    </row>
    <row r="737" spans="5:8" x14ac:dyDescent="0.2">
      <c r="E737" s="2">
        <f ca="1"/>
        <v>0.76053666072499837</v>
      </c>
      <c r="F737" s="2">
        <f t="shared" ca="1" si="33"/>
        <v>0.70802991805288418</v>
      </c>
      <c r="G737" s="72">
        <f t="shared" ca="1" si="34"/>
        <v>0.17700747951322104</v>
      </c>
      <c r="H737">
        <f t="shared" ca="1" si="35"/>
        <v>4607.4504808286656</v>
      </c>
    </row>
    <row r="738" spans="5:8" x14ac:dyDescent="0.2">
      <c r="E738" s="2">
        <f ca="1"/>
        <v>0.11467035107766921</v>
      </c>
      <c r="F738" s="2">
        <f t="shared" ca="1" si="33"/>
        <v>-1.202058916787005</v>
      </c>
      <c r="G738" s="72">
        <f t="shared" ca="1" si="34"/>
        <v>-0.30051472919675126</v>
      </c>
      <c r="H738">
        <f t="shared" ca="1" si="35"/>
        <v>2858.0868124177164</v>
      </c>
    </row>
    <row r="739" spans="5:8" x14ac:dyDescent="0.2">
      <c r="E739" s="2">
        <f ca="1"/>
        <v>0.54662954743416226</v>
      </c>
      <c r="F739" s="2">
        <f t="shared" ca="1" si="33"/>
        <v>0.11715035723199946</v>
      </c>
      <c r="G739" s="72">
        <f t="shared" ca="1" si="34"/>
        <v>2.9287589307999864E-2</v>
      </c>
      <c r="H739">
        <f t="shared" ca="1" si="35"/>
        <v>3974.7218578284733</v>
      </c>
    </row>
    <row r="740" spans="5:8" x14ac:dyDescent="0.2">
      <c r="E740" s="2">
        <f ca="1"/>
        <v>0.88494609023083992</v>
      </c>
      <c r="F740" s="2">
        <f t="shared" ca="1" si="33"/>
        <v>1.2000811655610542</v>
      </c>
      <c r="G740" s="72">
        <f t="shared" ca="1" si="34"/>
        <v>0.30002029139026354</v>
      </c>
      <c r="H740">
        <f t="shared" ca="1" si="35"/>
        <v>5210.5607256918565</v>
      </c>
    </row>
    <row r="741" spans="5:8" x14ac:dyDescent="0.2">
      <c r="E741" s="2">
        <f ca="1"/>
        <v>0.15284811009399535</v>
      </c>
      <c r="F741" s="2">
        <f t="shared" ca="1" si="33"/>
        <v>-1.0242944465954333</v>
      </c>
      <c r="G741" s="72">
        <f t="shared" ca="1" si="34"/>
        <v>-0.25607361164885833</v>
      </c>
      <c r="H741">
        <f t="shared" ca="1" si="35"/>
        <v>2987.9680421881449</v>
      </c>
    </row>
    <row r="742" spans="5:8" x14ac:dyDescent="0.2">
      <c r="E742" s="2">
        <f ca="1"/>
        <v>0.2597738440572952</v>
      </c>
      <c r="F742" s="2">
        <f t="shared" ca="1" si="33"/>
        <v>-0.64404278811798998</v>
      </c>
      <c r="G742" s="72">
        <f t="shared" ca="1" si="34"/>
        <v>-0.1610106970294975</v>
      </c>
      <c r="H742">
        <f t="shared" ca="1" si="35"/>
        <v>3285.9522443575179</v>
      </c>
    </row>
    <row r="743" spans="5:8" x14ac:dyDescent="0.2">
      <c r="E743" s="2">
        <f ca="1"/>
        <v>2.0719756205215267E-2</v>
      </c>
      <c r="F743" s="2">
        <f t="shared" ca="1" si="33"/>
        <v>-2.0391053697482544</v>
      </c>
      <c r="G743" s="72">
        <f t="shared" ca="1" si="34"/>
        <v>-0.5097763424370636</v>
      </c>
      <c r="H743">
        <f t="shared" ca="1" si="35"/>
        <v>2318.4314109517722</v>
      </c>
    </row>
    <row r="744" spans="5:8" x14ac:dyDescent="0.2">
      <c r="E744" s="2">
        <f ca="1"/>
        <v>0.81838643974018255</v>
      </c>
      <c r="F744" s="2">
        <f t="shared" ca="1" si="33"/>
        <v>0.90923305282346456</v>
      </c>
      <c r="G744" s="72">
        <f t="shared" ca="1" si="34"/>
        <v>0.22730826320586614</v>
      </c>
      <c r="H744">
        <f t="shared" ca="1" si="35"/>
        <v>4845.1366374183699</v>
      </c>
    </row>
    <row r="745" spans="5:8" x14ac:dyDescent="0.2">
      <c r="E745" s="2">
        <f ca="1"/>
        <v>0.60758344252362528</v>
      </c>
      <c r="F745" s="2">
        <f t="shared" ca="1" si="33"/>
        <v>0.27302614897887523</v>
      </c>
      <c r="G745" s="72">
        <f t="shared" ca="1" si="34"/>
        <v>6.8256537244718807E-2</v>
      </c>
      <c r="H745">
        <f t="shared" ca="1" si="35"/>
        <v>4132.6701385620581</v>
      </c>
    </row>
    <row r="746" spans="5:8" x14ac:dyDescent="0.2">
      <c r="E746" s="2">
        <f ca="1"/>
        <v>0.73340878371735507</v>
      </c>
      <c r="F746" s="2">
        <f t="shared" ca="1" si="33"/>
        <v>0.62315536107508385</v>
      </c>
      <c r="G746" s="72">
        <f t="shared" ca="1" si="34"/>
        <v>0.15578884026877096</v>
      </c>
      <c r="H746">
        <f t="shared" ca="1" si="35"/>
        <v>4510.716561660116</v>
      </c>
    </row>
    <row r="747" spans="5:8" x14ac:dyDescent="0.2">
      <c r="E747" s="2">
        <f ca="1"/>
        <v>0.27500984462410405</v>
      </c>
      <c r="F747" s="2">
        <f t="shared" ca="1" si="33"/>
        <v>-0.59773062239705532</v>
      </c>
      <c r="G747" s="72">
        <f t="shared" ca="1" si="34"/>
        <v>-0.14943265559926383</v>
      </c>
      <c r="H747">
        <f t="shared" ca="1" si="35"/>
        <v>3324.2182307027674</v>
      </c>
    </row>
    <row r="748" spans="5:8" x14ac:dyDescent="0.2">
      <c r="E748" s="2">
        <f ca="1"/>
        <v>1.1166615471907892E-2</v>
      </c>
      <c r="F748" s="2">
        <f t="shared" ca="1" si="33"/>
        <v>-2.2846521757203759</v>
      </c>
      <c r="G748" s="72">
        <f t="shared" ca="1" si="34"/>
        <v>-0.57116304393009398</v>
      </c>
      <c r="H748">
        <f t="shared" ca="1" si="35"/>
        <v>2180.3908278148992</v>
      </c>
    </row>
    <row r="749" spans="5:8" x14ac:dyDescent="0.2">
      <c r="E749" s="2">
        <f ca="1"/>
        <v>0.92971850728810845</v>
      </c>
      <c r="F749" s="2">
        <f t="shared" ca="1" si="33"/>
        <v>1.4736977630432502</v>
      </c>
      <c r="G749" s="72">
        <f t="shared" ca="1" si="34"/>
        <v>0.36842444076081254</v>
      </c>
      <c r="H749">
        <f t="shared" ca="1" si="35"/>
        <v>5579.4579173040529</v>
      </c>
    </row>
    <row r="750" spans="5:8" x14ac:dyDescent="0.2">
      <c r="E750" s="2">
        <f ca="1"/>
        <v>0.80312876617997975</v>
      </c>
      <c r="F750" s="2">
        <f t="shared" ca="1" si="33"/>
        <v>0.85285004433483602</v>
      </c>
      <c r="G750" s="72">
        <f t="shared" ca="1" si="34"/>
        <v>0.21321251108370901</v>
      </c>
      <c r="H750">
        <f t="shared" ca="1" si="35"/>
        <v>4777.3198793585498</v>
      </c>
    </row>
    <row r="751" spans="5:8" x14ac:dyDescent="0.2">
      <c r="E751" s="2">
        <f ca="1"/>
        <v>0.84395084367301876</v>
      </c>
      <c r="F751" s="2">
        <f t="shared" ca="1" si="33"/>
        <v>1.0108289330338016</v>
      </c>
      <c r="G751" s="72">
        <f t="shared" ca="1" si="34"/>
        <v>0.2527072332584504</v>
      </c>
      <c r="H751">
        <f t="shared" ca="1" si="35"/>
        <v>4969.7742509616437</v>
      </c>
    </row>
    <row r="752" spans="5:8" x14ac:dyDescent="0.2">
      <c r="E752" s="2">
        <f ca="1"/>
        <v>0.56597793145837838</v>
      </c>
      <c r="F752" s="2">
        <f t="shared" ca="1" si="33"/>
        <v>0.16614335350229822</v>
      </c>
      <c r="G752" s="72">
        <f t="shared" ca="1" si="34"/>
        <v>4.1535838375574556E-2</v>
      </c>
      <c r="H752">
        <f t="shared" ca="1" si="35"/>
        <v>4023.704605199559</v>
      </c>
    </row>
    <row r="753" spans="5:8" x14ac:dyDescent="0.2">
      <c r="E753" s="2">
        <f ca="1"/>
        <v>0.90657107735627585</v>
      </c>
      <c r="F753" s="2">
        <f t="shared" ca="1" si="33"/>
        <v>1.3199316320983419</v>
      </c>
      <c r="G753" s="72">
        <f t="shared" ca="1" si="34"/>
        <v>0.32998290802458546</v>
      </c>
      <c r="H753">
        <f t="shared" ca="1" si="35"/>
        <v>5369.0452074972563</v>
      </c>
    </row>
    <row r="754" spans="5:8" x14ac:dyDescent="0.2">
      <c r="E754" s="2">
        <f ca="1"/>
        <v>0.26217749828485215</v>
      </c>
      <c r="F754" s="2">
        <f t="shared" ca="1" si="33"/>
        <v>-0.63664670354204578</v>
      </c>
      <c r="G754" s="72">
        <f t="shared" ca="1" si="34"/>
        <v>-0.15916167588551144</v>
      </c>
      <c r="H754">
        <f t="shared" ca="1" si="35"/>
        <v>3292.0336601360077</v>
      </c>
    </row>
    <row r="755" spans="5:8" x14ac:dyDescent="0.2">
      <c r="E755" s="2">
        <f ca="1"/>
        <v>0.22357459482950182</v>
      </c>
      <c r="F755" s="2">
        <f t="shared" ca="1" si="33"/>
        <v>-0.76017633323960443</v>
      </c>
      <c r="G755" s="72">
        <f t="shared" ca="1" si="34"/>
        <v>-0.19004408330990111</v>
      </c>
      <c r="H755">
        <f t="shared" ca="1" si="35"/>
        <v>3191.9215434532616</v>
      </c>
    </row>
    <row r="756" spans="5:8" x14ac:dyDescent="0.2">
      <c r="E756" s="2">
        <f ca="1"/>
        <v>0.90486690386077351</v>
      </c>
      <c r="F756" s="2">
        <f t="shared" ca="1" si="33"/>
        <v>1.3097920530502867</v>
      </c>
      <c r="G756" s="72">
        <f t="shared" ca="1" si="34"/>
        <v>0.32744801326257167</v>
      </c>
      <c r="H756">
        <f t="shared" ca="1" si="35"/>
        <v>5355.4524782713706</v>
      </c>
    </row>
    <row r="757" spans="5:8" x14ac:dyDescent="0.2">
      <c r="E757" s="2">
        <f ca="1"/>
        <v>0.81025010850402279</v>
      </c>
      <c r="F757" s="2">
        <f t="shared" ca="1" si="33"/>
        <v>0.87881833556868616</v>
      </c>
      <c r="G757" s="72">
        <f t="shared" ca="1" si="34"/>
        <v>0.21970458389217154</v>
      </c>
      <c r="H757">
        <f t="shared" ca="1" si="35"/>
        <v>4808.4354809343959</v>
      </c>
    </row>
    <row r="758" spans="5:8" x14ac:dyDescent="0.2">
      <c r="E758" s="2">
        <f ca="1"/>
        <v>0.84837432694148718</v>
      </c>
      <c r="F758" s="2">
        <f t="shared" ca="1" si="33"/>
        <v>1.0294860193332007</v>
      </c>
      <c r="G758" s="72">
        <f t="shared" ca="1" si="34"/>
        <v>0.25737150483330018</v>
      </c>
      <c r="H758">
        <f t="shared" ca="1" si="35"/>
        <v>4993.0087716680018</v>
      </c>
    </row>
    <row r="759" spans="5:8" x14ac:dyDescent="0.2">
      <c r="E759" s="2">
        <f ca="1"/>
        <v>9.4221712743080888E-2</v>
      </c>
      <c r="F759" s="2">
        <f t="shared" ca="1" si="33"/>
        <v>-1.3151978263845436</v>
      </c>
      <c r="G759" s="72">
        <f t="shared" ca="1" si="34"/>
        <v>-0.32879945659613591</v>
      </c>
      <c r="H759">
        <f t="shared" ca="1" si="35"/>
        <v>2778.3791743943534</v>
      </c>
    </row>
    <row r="760" spans="5:8" x14ac:dyDescent="0.2">
      <c r="E760" s="2">
        <f ca="1"/>
        <v>0.27468100793229211</v>
      </c>
      <c r="F760" s="2">
        <f t="shared" ca="1" si="33"/>
        <v>-0.59871640465385856</v>
      </c>
      <c r="G760" s="72">
        <f t="shared" ca="1" si="34"/>
        <v>-0.14967910116346464</v>
      </c>
      <c r="H760">
        <f t="shared" ca="1" si="35"/>
        <v>3323.3990928059716</v>
      </c>
    </row>
    <row r="761" spans="5:8" x14ac:dyDescent="0.2">
      <c r="E761" s="2">
        <f ca="1"/>
        <v>0.23827146277824984</v>
      </c>
      <c r="F761" s="2">
        <f t="shared" ca="1" si="33"/>
        <v>-0.71187380320668137</v>
      </c>
      <c r="G761" s="72">
        <f t="shared" ca="1" si="34"/>
        <v>-0.17796845080167034</v>
      </c>
      <c r="H761">
        <f t="shared" ca="1" si="35"/>
        <v>3230.6996790437379</v>
      </c>
    </row>
    <row r="762" spans="5:8" x14ac:dyDescent="0.2">
      <c r="E762" s="2">
        <f ca="1"/>
        <v>0.43120644238903894</v>
      </c>
      <c r="F762" s="2">
        <f t="shared" ca="1" si="33"/>
        <v>-0.17330348465680159</v>
      </c>
      <c r="G762" s="72">
        <f t="shared" ca="1" si="34"/>
        <v>-4.3325871164200398E-2</v>
      </c>
      <c r="H762">
        <f t="shared" ca="1" si="35"/>
        <v>3696.333240960375</v>
      </c>
    </row>
    <row r="763" spans="5:8" x14ac:dyDescent="0.2">
      <c r="E763" s="2">
        <f ca="1"/>
        <v>0.27749510209952089</v>
      </c>
      <c r="F763" s="2">
        <f t="shared" ca="1" si="33"/>
        <v>-0.59029900820204118</v>
      </c>
      <c r="G763" s="72">
        <f t="shared" ca="1" si="34"/>
        <v>-0.14757475205051029</v>
      </c>
      <c r="H763">
        <f t="shared" ca="1" si="35"/>
        <v>3330.4000483827213</v>
      </c>
    </row>
    <row r="764" spans="5:8" x14ac:dyDescent="0.2">
      <c r="E764" s="2">
        <f ca="1"/>
        <v>0.47898434298676884</v>
      </c>
      <c r="F764" s="2">
        <f t="shared" ca="1" si="33"/>
        <v>-5.2702827708348131E-2</v>
      </c>
      <c r="G764" s="72">
        <f t="shared" ca="1" si="34"/>
        <v>-1.3175706927087033E-2</v>
      </c>
      <c r="H764">
        <f t="shared" ca="1" si="35"/>
        <v>3809.4753511622771</v>
      </c>
    </row>
    <row r="765" spans="5:8" x14ac:dyDescent="0.2">
      <c r="E765" s="2">
        <f ca="1"/>
        <v>0.50185567832570688</v>
      </c>
      <c r="F765" s="2">
        <f t="shared" ca="1" si="33"/>
        <v>4.6515125335775346E-3</v>
      </c>
      <c r="G765" s="72">
        <f t="shared" ca="1" si="34"/>
        <v>1.1628781333943836E-3</v>
      </c>
      <c r="H765">
        <f t="shared" ca="1" si="35"/>
        <v>3864.4913205179837</v>
      </c>
    </row>
    <row r="766" spans="5:8" x14ac:dyDescent="0.2">
      <c r="E766" s="2">
        <f ca="1"/>
        <v>0.78334424934177771</v>
      </c>
      <c r="F766" s="2">
        <f t="shared" ca="1" si="33"/>
        <v>0.78353756836477129</v>
      </c>
      <c r="G766" s="72">
        <f t="shared" ca="1" si="34"/>
        <v>0.19588439209119282</v>
      </c>
      <c r="H766">
        <f t="shared" ca="1" si="35"/>
        <v>4695.2510150616181</v>
      </c>
    </row>
    <row r="767" spans="5:8" x14ac:dyDescent="0.2">
      <c r="E767" s="2">
        <f ca="1"/>
        <v>0.30111004550688691</v>
      </c>
      <c r="F767" s="2">
        <f t="shared" ca="1" si="33"/>
        <v>-0.52121057091396272</v>
      </c>
      <c r="G767" s="72">
        <f t="shared" ca="1" si="34"/>
        <v>-0.13030264272849068</v>
      </c>
      <c r="H767">
        <f t="shared" ca="1" si="35"/>
        <v>3388.4227266611751</v>
      </c>
    </row>
    <row r="768" spans="5:8" x14ac:dyDescent="0.2">
      <c r="E768" s="2">
        <f ca="1"/>
        <v>0.87585748502557714</v>
      </c>
      <c r="F768" s="2">
        <f t="shared" ca="1" si="33"/>
        <v>1.1545249150744903</v>
      </c>
      <c r="G768" s="72">
        <f t="shared" ca="1" si="34"/>
        <v>0.28863122876862257</v>
      </c>
      <c r="H768">
        <f t="shared" ca="1" si="35"/>
        <v>5151.5539768877825</v>
      </c>
    </row>
    <row r="769" spans="5:8" x14ac:dyDescent="0.2">
      <c r="E769" s="2">
        <f ca="1"/>
        <v>0.3643797509820017</v>
      </c>
      <c r="F769" s="2">
        <f t="shared" ca="1" si="33"/>
        <v>-0.34677614224245068</v>
      </c>
      <c r="G769" s="72">
        <f t="shared" ca="1" si="34"/>
        <v>-8.669403556061267E-2</v>
      </c>
      <c r="H769">
        <f t="shared" ca="1" si="35"/>
        <v>3539.4563712734798</v>
      </c>
    </row>
    <row r="770" spans="5:8" x14ac:dyDescent="0.2">
      <c r="E770" s="2">
        <f ca="1"/>
        <v>0.48492524891921884</v>
      </c>
      <c r="F770" s="2">
        <f t="shared" ca="1" si="33"/>
        <v>-3.7795794051735401E-2</v>
      </c>
      <c r="G770" s="72">
        <f t="shared" ca="1" si="34"/>
        <v>-9.4489485129338503E-3</v>
      </c>
      <c r="H770">
        <f t="shared" ca="1" si="35"/>
        <v>3823.6988327584204</v>
      </c>
    </row>
    <row r="771" spans="5:8" x14ac:dyDescent="0.2">
      <c r="E771" s="2">
        <f ca="1"/>
        <v>0.66178605300508431</v>
      </c>
      <c r="F771" s="2">
        <f t="shared" ca="1" si="33"/>
        <v>0.41734251689850993</v>
      </c>
      <c r="G771" s="72">
        <f t="shared" ca="1" si="34"/>
        <v>0.10433562922462748</v>
      </c>
      <c r="H771">
        <f t="shared" ca="1" si="35"/>
        <v>4284.4955165915653</v>
      </c>
    </row>
    <row r="772" spans="5:8" x14ac:dyDescent="0.2">
      <c r="E772" s="2">
        <f ca="1"/>
        <v>0.78962071787785915</v>
      </c>
      <c r="F772" s="2">
        <f t="shared" ca="1" si="33"/>
        <v>0.80510591243856966</v>
      </c>
      <c r="G772" s="72">
        <f t="shared" ca="1" si="34"/>
        <v>0.20127647810964241</v>
      </c>
      <c r="H772">
        <f t="shared" ca="1" si="35"/>
        <v>4720.6365915127262</v>
      </c>
    </row>
    <row r="773" spans="5:8" x14ac:dyDescent="0.2">
      <c r="E773" s="2">
        <f ca="1"/>
        <v>0.57567698166996228</v>
      </c>
      <c r="F773" s="2">
        <f t="shared" ca="1" si="33"/>
        <v>0.19084626997742571</v>
      </c>
      <c r="G773" s="72">
        <f t="shared" ca="1" si="34"/>
        <v>4.7711567494356427E-2</v>
      </c>
      <c r="H773">
        <f t="shared" ca="1" si="35"/>
        <v>4048.630804399425</v>
      </c>
    </row>
    <row r="774" spans="5:8" x14ac:dyDescent="0.2">
      <c r="E774" s="2">
        <f ca="1"/>
        <v>0.58529389295572676</v>
      </c>
      <c r="F774" s="2">
        <f t="shared" ca="1" si="33"/>
        <v>0.21545548595520486</v>
      </c>
      <c r="G774" s="72">
        <f t="shared" ca="1" si="34"/>
        <v>5.3863871488801215E-2</v>
      </c>
      <c r="H774">
        <f t="shared" ca="1" si="35"/>
        <v>4073.6159912927747</v>
      </c>
    </row>
    <row r="775" spans="5:8" x14ac:dyDescent="0.2">
      <c r="E775" s="2">
        <f ca="1"/>
        <v>0.58127200324133144</v>
      </c>
      <c r="F775" s="2">
        <f t="shared" ca="1" si="33"/>
        <v>0.20514864223759327</v>
      </c>
      <c r="G775" s="72">
        <f t="shared" ca="1" si="34"/>
        <v>5.1287160559398318E-2</v>
      </c>
      <c r="H775">
        <f t="shared" ca="1" si="35"/>
        <v>4063.1329721009961</v>
      </c>
    </row>
    <row r="776" spans="5:8" x14ac:dyDescent="0.2">
      <c r="E776" s="2">
        <f ca="1"/>
        <v>0.2833350549952609</v>
      </c>
      <c r="F776" s="2">
        <f t="shared" ca="1" si="33"/>
        <v>-0.5729624630987471</v>
      </c>
      <c r="G776" s="72">
        <f t="shared" ca="1" si="34"/>
        <v>-0.14324061577468677</v>
      </c>
      <c r="H776">
        <f t="shared" ca="1" si="35"/>
        <v>3344.8657816304576</v>
      </c>
    </row>
    <row r="777" spans="5:8" x14ac:dyDescent="0.2">
      <c r="E777" s="2">
        <f ca="1"/>
        <v>1.1568800825891179E-2</v>
      </c>
      <c r="F777" s="2">
        <f t="shared" ca="1" si="33"/>
        <v>-2.2711549143850895</v>
      </c>
      <c r="G777" s="72">
        <f t="shared" ca="1" si="34"/>
        <v>-0.56778872859627239</v>
      </c>
      <c r="H777">
        <f t="shared" ca="1" si="35"/>
        <v>2187.7605809617758</v>
      </c>
    </row>
    <row r="778" spans="5:8" x14ac:dyDescent="0.2">
      <c r="E778" s="2">
        <f ca="1"/>
        <v>0.13096001685076164</v>
      </c>
      <c r="F778" s="2">
        <f t="shared" ca="1" si="33"/>
        <v>-1.1218645541043668</v>
      </c>
      <c r="G778" s="72">
        <f t="shared" ca="1" si="34"/>
        <v>-0.2804661385260917</v>
      </c>
      <c r="H778">
        <f t="shared" ca="1" si="35"/>
        <v>2915.9656812271051</v>
      </c>
    </row>
    <row r="779" spans="5:8" x14ac:dyDescent="0.2">
      <c r="E779" s="2">
        <f ca="1"/>
        <v>0.71971337742874364</v>
      </c>
      <c r="F779" s="2">
        <f t="shared" ca="1" si="33"/>
        <v>0.58199025463877641</v>
      </c>
      <c r="G779" s="72">
        <f t="shared" ca="1" si="34"/>
        <v>0.1454975636596941</v>
      </c>
      <c r="H779">
        <f t="shared" ca="1" si="35"/>
        <v>4464.5335783508954</v>
      </c>
    </row>
    <row r="780" spans="5:8" x14ac:dyDescent="0.2">
      <c r="E780" s="2">
        <f ca="1"/>
        <v>0.44234673933413227</v>
      </c>
      <c r="F780" s="2">
        <f t="shared" ca="1" si="33"/>
        <v>-0.14502202945197423</v>
      </c>
      <c r="G780" s="72">
        <f t="shared" ca="1" si="34"/>
        <v>-3.6255507362993558E-2</v>
      </c>
      <c r="H780">
        <f t="shared" ca="1" si="35"/>
        <v>3722.5602697645572</v>
      </c>
    </row>
    <row r="781" spans="5:8" x14ac:dyDescent="0.2">
      <c r="E781" s="2">
        <f ca="1"/>
        <v>0.4196374157296836</v>
      </c>
      <c r="F781" s="2">
        <f t="shared" ca="1" si="33"/>
        <v>-0.20282114325980297</v>
      </c>
      <c r="G781" s="72">
        <f t="shared" ca="1" si="34"/>
        <v>-5.0705285814950742E-2</v>
      </c>
      <c r="H781">
        <f t="shared" ca="1" si="35"/>
        <v>3669.1568615001042</v>
      </c>
    </row>
    <row r="782" spans="5:8" x14ac:dyDescent="0.2">
      <c r="E782" s="2">
        <f ca="1"/>
        <v>0.51936881891019349</v>
      </c>
      <c r="F782" s="2">
        <f t="shared" ca="1" si="33"/>
        <v>4.8569518271578543E-2</v>
      </c>
      <c r="G782" s="72">
        <f t="shared" ca="1" si="34"/>
        <v>1.2142379567894636E-2</v>
      </c>
      <c r="H782">
        <f t="shared" ca="1" si="35"/>
        <v>3907.1552945046574</v>
      </c>
    </row>
    <row r="783" spans="5:8" x14ac:dyDescent="0.2">
      <c r="E783" s="2">
        <f ca="1"/>
        <v>0.8417098144849684</v>
      </c>
      <c r="F783" s="2">
        <f t="shared" ca="1" si="33"/>
        <v>1.001509869543548</v>
      </c>
      <c r="G783" s="72">
        <f t="shared" ca="1" si="34"/>
        <v>0.25037746738588701</v>
      </c>
      <c r="H783">
        <f t="shared" ca="1" si="35"/>
        <v>4958.2093175420296</v>
      </c>
    </row>
    <row r="784" spans="5:8" x14ac:dyDescent="0.2">
      <c r="E784" s="2">
        <f ca="1"/>
        <v>0.35483036206754459</v>
      </c>
      <c r="F784" s="2">
        <f t="shared" ca="1" si="33"/>
        <v>-0.37231178638999718</v>
      </c>
      <c r="G784" s="72">
        <f t="shared" ca="1" si="34"/>
        <v>-9.3077946597499295E-2</v>
      </c>
      <c r="H784">
        <f t="shared" ca="1" si="35"/>
        <v>3516.932767516098</v>
      </c>
    </row>
    <row r="785" spans="5:8" x14ac:dyDescent="0.2">
      <c r="E785" s="2">
        <f ca="1"/>
        <v>0.31454873887637702</v>
      </c>
      <c r="F785" s="2">
        <f t="shared" ca="1" si="33"/>
        <v>-0.48299754727382022</v>
      </c>
      <c r="G785" s="72">
        <f t="shared" ca="1" si="34"/>
        <v>-0.12074938681845505</v>
      </c>
      <c r="H785">
        <f t="shared" ca="1" si="35"/>
        <v>3420.9483113479878</v>
      </c>
    </row>
    <row r="786" spans="5:8" x14ac:dyDescent="0.2">
      <c r="E786" s="2">
        <f ca="1"/>
        <v>0.63688905775528526</v>
      </c>
      <c r="F786" s="2">
        <f t="shared" ca="1" si="33"/>
        <v>0.35015565535895438</v>
      </c>
      <c r="G786" s="72">
        <f t="shared" ca="1" si="34"/>
        <v>8.7538913839738594E-2</v>
      </c>
      <c r="H786">
        <f t="shared" ca="1" si="35"/>
        <v>4213.131086667795</v>
      </c>
    </row>
    <row r="787" spans="5:8" x14ac:dyDescent="0.2">
      <c r="E787" s="2">
        <f ca="1"/>
        <v>0.46936113396193901</v>
      </c>
      <c r="F787" s="2">
        <f t="shared" ref="F787:F850" ca="1" si="36">_xlfn.NORM.S.INV(E787)</f>
        <v>-7.6875902373286537E-2</v>
      </c>
      <c r="G787" s="72">
        <f t="shared" ref="G787:G850" ca="1" si="37">$G$12+$G$13*F787</f>
        <v>-1.9218975593321634E-2</v>
      </c>
      <c r="H787">
        <f t="shared" ref="H787:H850" ca="1" si="38">$G$11*EXP(G787)</f>
        <v>3786.5230913275759</v>
      </c>
    </row>
    <row r="788" spans="5:8" x14ac:dyDescent="0.2">
      <c r="E788" s="2">
        <f ca="1"/>
        <v>0.77977809192647363</v>
      </c>
      <c r="F788" s="2">
        <f t="shared" ca="1" si="36"/>
        <v>0.77144397840769441</v>
      </c>
      <c r="G788" s="72">
        <f t="shared" ca="1" si="37"/>
        <v>0.1928609946019236</v>
      </c>
      <c r="H788">
        <f t="shared" ca="1" si="38"/>
        <v>4681.0768428066904</v>
      </c>
    </row>
    <row r="789" spans="5:8" x14ac:dyDescent="0.2">
      <c r="E789" s="2">
        <f ca="1"/>
        <v>0.91373418200575451</v>
      </c>
      <c r="F789" s="2">
        <f t="shared" ca="1" si="36"/>
        <v>1.3641141691296597</v>
      </c>
      <c r="G789" s="72">
        <f t="shared" ca="1" si="37"/>
        <v>0.34102854228241491</v>
      </c>
      <c r="H789">
        <f t="shared" ca="1" si="38"/>
        <v>5428.6784543903104</v>
      </c>
    </row>
    <row r="790" spans="5:8" x14ac:dyDescent="0.2">
      <c r="E790" s="2">
        <f ca="1"/>
        <v>0.86813062364913729</v>
      </c>
      <c r="F790" s="2">
        <f t="shared" ca="1" si="36"/>
        <v>1.1175979313283801</v>
      </c>
      <c r="G790" s="72">
        <f t="shared" ca="1" si="37"/>
        <v>0.27939948283209504</v>
      </c>
      <c r="H790">
        <f t="shared" ca="1" si="38"/>
        <v>5104.2149863670393</v>
      </c>
    </row>
    <row r="791" spans="5:8" x14ac:dyDescent="0.2">
      <c r="E791" s="2">
        <f ca="1"/>
        <v>0.13139427107179302</v>
      </c>
      <c r="F791" s="2">
        <f t="shared" ca="1" si="36"/>
        <v>-1.1198245341666615</v>
      </c>
      <c r="G791" s="72">
        <f t="shared" ca="1" si="37"/>
        <v>-0.27995613354166538</v>
      </c>
      <c r="H791">
        <f t="shared" ca="1" si="38"/>
        <v>2917.453217552174</v>
      </c>
    </row>
    <row r="792" spans="5:8" x14ac:dyDescent="0.2">
      <c r="E792" s="2">
        <f ca="1"/>
        <v>0.81853150917772877</v>
      </c>
      <c r="F792" s="2">
        <f t="shared" ca="1" si="36"/>
        <v>0.90978296217577437</v>
      </c>
      <c r="G792" s="72">
        <f t="shared" ca="1" si="37"/>
        <v>0.22744574054394359</v>
      </c>
      <c r="H792">
        <f t="shared" ca="1" si="38"/>
        <v>4845.802779694588</v>
      </c>
    </row>
    <row r="793" spans="5:8" x14ac:dyDescent="0.2">
      <c r="E793" s="2">
        <f ca="1"/>
        <v>0.76182515492388525</v>
      </c>
      <c r="F793" s="2">
        <f t="shared" ca="1" si="36"/>
        <v>0.71218586266870199</v>
      </c>
      <c r="G793" s="72">
        <f t="shared" ca="1" si="37"/>
        <v>0.1780464656671755</v>
      </c>
      <c r="H793">
        <f t="shared" ca="1" si="38"/>
        <v>4612.2400457982621</v>
      </c>
    </row>
    <row r="794" spans="5:8" x14ac:dyDescent="0.2">
      <c r="E794" s="2">
        <f ca="1"/>
        <v>0.26065481583102956</v>
      </c>
      <c r="F794" s="2">
        <f t="shared" ca="1" si="36"/>
        <v>-0.64132795288540001</v>
      </c>
      <c r="G794" s="72">
        <f t="shared" ca="1" si="37"/>
        <v>-0.16033198822135</v>
      </c>
      <c r="H794">
        <f t="shared" ca="1" si="38"/>
        <v>3288.1832060899642</v>
      </c>
    </row>
    <row r="795" spans="5:8" x14ac:dyDescent="0.2">
      <c r="E795" s="2">
        <f ca="1"/>
        <v>0.84822688839051241</v>
      </c>
      <c r="F795" s="2">
        <f t="shared" ca="1" si="36"/>
        <v>1.0288583912720326</v>
      </c>
      <c r="G795" s="72">
        <f t="shared" ca="1" si="37"/>
        <v>0.25721459781800815</v>
      </c>
      <c r="H795">
        <f t="shared" ca="1" si="38"/>
        <v>4992.2253950245649</v>
      </c>
    </row>
    <row r="796" spans="5:8" x14ac:dyDescent="0.2">
      <c r="E796" s="2">
        <f ca="1"/>
        <v>0.94896617787946913</v>
      </c>
      <c r="F796" s="2">
        <f t="shared" ca="1" si="36"/>
        <v>1.6349112954570677</v>
      </c>
      <c r="G796" s="72">
        <f t="shared" ca="1" si="37"/>
        <v>0.40872782386426693</v>
      </c>
      <c r="H796">
        <f t="shared" ca="1" si="38"/>
        <v>5808.9219759565167</v>
      </c>
    </row>
    <row r="797" spans="5:8" x14ac:dyDescent="0.2">
      <c r="E797" s="2">
        <f ca="1"/>
        <v>0.33946572391812335</v>
      </c>
      <c r="F797" s="2">
        <f t="shared" ca="1" si="36"/>
        <v>-0.41392170458053718</v>
      </c>
      <c r="G797" s="72">
        <f t="shared" ca="1" si="37"/>
        <v>-0.10348042614513429</v>
      </c>
      <c r="H797">
        <f t="shared" ca="1" si="38"/>
        <v>3480.5375746541481</v>
      </c>
    </row>
    <row r="798" spans="5:8" x14ac:dyDescent="0.2">
      <c r="E798" s="2">
        <f ca="1"/>
        <v>0.69283763587973302</v>
      </c>
      <c r="F798" s="2">
        <f t="shared" ca="1" si="36"/>
        <v>0.50390985032085989</v>
      </c>
      <c r="G798" s="72">
        <f t="shared" ca="1" si="37"/>
        <v>0.12597746258021497</v>
      </c>
      <c r="H798">
        <f t="shared" ca="1" si="38"/>
        <v>4378.2304944419702</v>
      </c>
    </row>
    <row r="799" spans="5:8" x14ac:dyDescent="0.2">
      <c r="E799" s="2">
        <f ca="1"/>
        <v>0.59639574375552806</v>
      </c>
      <c r="F799" s="2">
        <f t="shared" ca="1" si="36"/>
        <v>0.24402880308906061</v>
      </c>
      <c r="G799" s="72">
        <f t="shared" ca="1" si="37"/>
        <v>6.1007200772265152E-2</v>
      </c>
      <c r="H799">
        <f t="shared" ca="1" si="38"/>
        <v>4102.8193521240064</v>
      </c>
    </row>
    <row r="800" spans="5:8" x14ac:dyDescent="0.2">
      <c r="E800" s="2">
        <f ca="1"/>
        <v>0.64089503608834764</v>
      </c>
      <c r="F800" s="2">
        <f t="shared" ca="1" si="36"/>
        <v>0.36085221381807009</v>
      </c>
      <c r="G800" s="72">
        <f t="shared" ca="1" si="37"/>
        <v>9.0213053454517522E-2</v>
      </c>
      <c r="H800">
        <f t="shared" ca="1" si="38"/>
        <v>4224.4126649437003</v>
      </c>
    </row>
    <row r="801" spans="5:8" x14ac:dyDescent="0.2">
      <c r="E801" s="2">
        <f ca="1"/>
        <v>0.46901647754755915</v>
      </c>
      <c r="F801" s="2">
        <f t="shared" ca="1" si="36"/>
        <v>-7.7742413489289494E-2</v>
      </c>
      <c r="G801" s="72">
        <f t="shared" ca="1" si="37"/>
        <v>-1.9435603372322374E-2</v>
      </c>
      <c r="H801">
        <f t="shared" ca="1" si="38"/>
        <v>3785.7029140799618</v>
      </c>
    </row>
    <row r="802" spans="5:8" x14ac:dyDescent="0.2">
      <c r="E802" s="2">
        <f ca="1"/>
        <v>0.13686086592519775</v>
      </c>
      <c r="F802" s="2">
        <f t="shared" ca="1" si="36"/>
        <v>-1.0945319745298077</v>
      </c>
      <c r="G802" s="72">
        <f t="shared" ca="1" si="37"/>
        <v>-0.27363299363245192</v>
      </c>
      <c r="H802">
        <f t="shared" ca="1" si="38"/>
        <v>2935.9591284986509</v>
      </c>
    </row>
    <row r="803" spans="5:8" x14ac:dyDescent="0.2">
      <c r="E803" s="2">
        <f ca="1"/>
        <v>0.10661643434191426</v>
      </c>
      <c r="F803" s="2">
        <f t="shared" ca="1" si="36"/>
        <v>-1.244724957609072</v>
      </c>
      <c r="G803" s="72">
        <f t="shared" ca="1" si="37"/>
        <v>-0.311181239402268</v>
      </c>
      <c r="H803">
        <f t="shared" ca="1" si="38"/>
        <v>2827.7630123319218</v>
      </c>
    </row>
    <row r="804" spans="5:8" x14ac:dyDescent="0.2">
      <c r="E804" s="2">
        <f ca="1"/>
        <v>7.2500665046804524E-2</v>
      </c>
      <c r="F804" s="2">
        <f t="shared" ca="1" si="36"/>
        <v>-1.4574169171403653</v>
      </c>
      <c r="G804" s="72">
        <f t="shared" ca="1" si="37"/>
        <v>-0.36435422928509131</v>
      </c>
      <c r="H804">
        <f t="shared" ca="1" si="38"/>
        <v>2681.3300378408885</v>
      </c>
    </row>
    <row r="805" spans="5:8" x14ac:dyDescent="0.2">
      <c r="E805" s="2">
        <f ca="1"/>
        <v>0.44576248158763532</v>
      </c>
      <c r="F805" s="2">
        <f t="shared" ca="1" si="36"/>
        <v>-0.13637483928332664</v>
      </c>
      <c r="G805" s="72">
        <f t="shared" ca="1" si="37"/>
        <v>-3.4093709820831659E-2</v>
      </c>
      <c r="H805">
        <f t="shared" ca="1" si="38"/>
        <v>3730.6163961259304</v>
      </c>
    </row>
    <row r="806" spans="5:8" x14ac:dyDescent="0.2">
      <c r="E806" s="2">
        <f ca="1"/>
        <v>0.64348646677836241</v>
      </c>
      <c r="F806" s="2">
        <f t="shared" ca="1" si="36"/>
        <v>0.36779370067547651</v>
      </c>
      <c r="G806" s="72">
        <f t="shared" ca="1" si="37"/>
        <v>9.1948425168869127E-2</v>
      </c>
      <c r="H806">
        <f t="shared" ca="1" si="38"/>
        <v>4231.7499558143472</v>
      </c>
    </row>
    <row r="807" spans="5:8" x14ac:dyDescent="0.2">
      <c r="E807" s="2">
        <f ca="1"/>
        <v>0.37823701891917372</v>
      </c>
      <c r="F807" s="2">
        <f t="shared" ca="1" si="36"/>
        <v>-0.31011430041161497</v>
      </c>
      <c r="G807" s="72">
        <f t="shared" ca="1" si="37"/>
        <v>-7.7528575102903743E-2</v>
      </c>
      <c r="H807">
        <f t="shared" ca="1" si="38"/>
        <v>3572.0462411237345</v>
      </c>
    </row>
    <row r="808" spans="5:8" x14ac:dyDescent="0.2">
      <c r="E808" s="2">
        <f ca="1"/>
        <v>6.090200086816222E-2</v>
      </c>
      <c r="F808" s="2">
        <f t="shared" ca="1" si="36"/>
        <v>-1.5472457338276349</v>
      </c>
      <c r="G808" s="72">
        <f t="shared" ca="1" si="37"/>
        <v>-0.38681143345690872</v>
      </c>
      <c r="H808">
        <f t="shared" ca="1" si="38"/>
        <v>2621.7859609232555</v>
      </c>
    </row>
    <row r="809" spans="5:8" x14ac:dyDescent="0.2">
      <c r="E809" s="2">
        <f ca="1"/>
        <v>0.60665457459237859</v>
      </c>
      <c r="F809" s="2">
        <f t="shared" ca="1" si="36"/>
        <v>0.27061019892756361</v>
      </c>
      <c r="G809" s="72">
        <f t="shared" ca="1" si="37"/>
        <v>6.7652549731890901E-2</v>
      </c>
      <c r="H809">
        <f t="shared" ca="1" si="38"/>
        <v>4130.1748110529161</v>
      </c>
    </row>
    <row r="810" spans="5:8" x14ac:dyDescent="0.2">
      <c r="E810" s="2">
        <f ca="1"/>
        <v>0.17112884660589023</v>
      </c>
      <c r="F810" s="2">
        <f t="shared" ca="1" si="36"/>
        <v>-0.94971380507322145</v>
      </c>
      <c r="G810" s="72">
        <f t="shared" ca="1" si="37"/>
        <v>-0.23742845126830536</v>
      </c>
      <c r="H810">
        <f t="shared" ca="1" si="38"/>
        <v>3044.2018001729957</v>
      </c>
    </row>
    <row r="811" spans="5:8" x14ac:dyDescent="0.2">
      <c r="E811" s="2">
        <f ca="1"/>
        <v>0.76805740336924511</v>
      </c>
      <c r="F811" s="2">
        <f t="shared" ca="1" si="36"/>
        <v>0.73246435192502701</v>
      </c>
      <c r="G811" s="72">
        <f t="shared" ca="1" si="37"/>
        <v>0.18311608798125675</v>
      </c>
      <c r="H811">
        <f t="shared" ca="1" si="38"/>
        <v>4635.6817308909085</v>
      </c>
    </row>
    <row r="812" spans="5:8" x14ac:dyDescent="0.2">
      <c r="E812" s="2">
        <f ca="1"/>
        <v>0.62131651959962686</v>
      </c>
      <c r="F812" s="2">
        <f t="shared" ca="1" si="36"/>
        <v>0.30894027307629207</v>
      </c>
      <c r="G812" s="72">
        <f t="shared" ca="1" si="37"/>
        <v>7.7235068269073018E-2</v>
      </c>
      <c r="H812">
        <f t="shared" ca="1" si="38"/>
        <v>4169.9425208455268</v>
      </c>
    </row>
    <row r="813" spans="5:8" x14ac:dyDescent="0.2">
      <c r="E813" s="2">
        <f ca="1"/>
        <v>9.4270582008721959E-2</v>
      </c>
      <c r="F813" s="2">
        <f t="shared" ca="1" si="36"/>
        <v>-1.3149069877387223</v>
      </c>
      <c r="G813" s="72">
        <f t="shared" ca="1" si="37"/>
        <v>-0.32872674693468057</v>
      </c>
      <c r="H813">
        <f t="shared" ca="1" si="38"/>
        <v>2778.5811967479181</v>
      </c>
    </row>
    <row r="814" spans="5:8" x14ac:dyDescent="0.2">
      <c r="E814" s="2">
        <f ca="1"/>
        <v>0.47119273753243873</v>
      </c>
      <c r="F814" s="2">
        <f t="shared" ca="1" si="36"/>
        <v>-7.2271964952325921E-2</v>
      </c>
      <c r="G814" s="72">
        <f t="shared" ca="1" si="37"/>
        <v>-1.806799123808148E-2</v>
      </c>
      <c r="H814">
        <f t="shared" ca="1" si="38"/>
        <v>3790.8838292556029</v>
      </c>
    </row>
    <row r="815" spans="5:8" x14ac:dyDescent="0.2">
      <c r="E815" s="2">
        <f ca="1"/>
        <v>0.80791856101976989</v>
      </c>
      <c r="F815" s="2">
        <f t="shared" ca="1" si="36"/>
        <v>0.87025168180937296</v>
      </c>
      <c r="G815" s="72">
        <f t="shared" ca="1" si="37"/>
        <v>0.21756292045234324</v>
      </c>
      <c r="H815">
        <f t="shared" ca="1" si="38"/>
        <v>4798.1484500730348</v>
      </c>
    </row>
    <row r="816" spans="5:8" x14ac:dyDescent="0.2">
      <c r="E816" s="2">
        <f ca="1"/>
        <v>0.82893539919594206</v>
      </c>
      <c r="F816" s="2">
        <f t="shared" ca="1" si="36"/>
        <v>0.94996664412823595</v>
      </c>
      <c r="G816" s="72">
        <f t="shared" ca="1" si="37"/>
        <v>0.23749166103205899</v>
      </c>
      <c r="H816">
        <f t="shared" ca="1" si="38"/>
        <v>4894.7286704565277</v>
      </c>
    </row>
    <row r="817" spans="5:8" x14ac:dyDescent="0.2">
      <c r="E817" s="2">
        <f ca="1"/>
        <v>0.34176764917818403</v>
      </c>
      <c r="F817" s="2">
        <f t="shared" ca="1" si="36"/>
        <v>-0.40764367011172292</v>
      </c>
      <c r="G817" s="72">
        <f t="shared" ca="1" si="37"/>
        <v>-0.10191091752793073</v>
      </c>
      <c r="H817">
        <f t="shared" ca="1" si="38"/>
        <v>3486.0045975175462</v>
      </c>
    </row>
    <row r="818" spans="5:8" x14ac:dyDescent="0.2">
      <c r="E818" s="2">
        <f ca="1"/>
        <v>0.29405366966163604</v>
      </c>
      <c r="F818" s="2">
        <f t="shared" ca="1" si="36"/>
        <v>-0.54158077408153871</v>
      </c>
      <c r="G818" s="72">
        <f t="shared" ca="1" si="37"/>
        <v>-0.13539519352038468</v>
      </c>
      <c r="H818">
        <f t="shared" ca="1" si="38"/>
        <v>3371.2108751330788</v>
      </c>
    </row>
    <row r="819" spans="5:8" x14ac:dyDescent="0.2">
      <c r="E819" s="2">
        <f ca="1"/>
        <v>0.55649047757831349</v>
      </c>
      <c r="F819" s="2">
        <f t="shared" ca="1" si="36"/>
        <v>0.1420771777014625</v>
      </c>
      <c r="G819" s="72">
        <f t="shared" ca="1" si="37"/>
        <v>3.5519294425365625E-2</v>
      </c>
      <c r="H819">
        <f t="shared" ca="1" si="38"/>
        <v>3999.5684904055979</v>
      </c>
    </row>
    <row r="820" spans="5:8" x14ac:dyDescent="0.2">
      <c r="E820" s="2">
        <f ca="1"/>
        <v>0.87255167265029643</v>
      </c>
      <c r="F820" s="2">
        <f t="shared" ca="1" si="36"/>
        <v>1.138536193311368</v>
      </c>
      <c r="G820" s="72">
        <f t="shared" ca="1" si="37"/>
        <v>0.284634048327842</v>
      </c>
      <c r="H820">
        <f t="shared" ca="1" si="38"/>
        <v>5131.0033856645487</v>
      </c>
    </row>
    <row r="821" spans="5:8" x14ac:dyDescent="0.2">
      <c r="E821" s="2">
        <f ca="1"/>
        <v>0.33835541785717638</v>
      </c>
      <c r="F821" s="2">
        <f t="shared" ca="1" si="36"/>
        <v>-0.41695566613444346</v>
      </c>
      <c r="G821" s="72">
        <f t="shared" ca="1" si="37"/>
        <v>-0.10423891653361086</v>
      </c>
      <c r="H821">
        <f t="shared" ca="1" si="38"/>
        <v>3477.8986212939385</v>
      </c>
    </row>
    <row r="822" spans="5:8" x14ac:dyDescent="0.2">
      <c r="E822" s="2">
        <f ca="1"/>
        <v>0.71872834883117109</v>
      </c>
      <c r="F822" s="2">
        <f t="shared" ca="1" si="36"/>
        <v>0.57906798323203224</v>
      </c>
      <c r="G822" s="72">
        <f t="shared" ca="1" si="37"/>
        <v>0.14476699580800806</v>
      </c>
      <c r="H822">
        <f t="shared" ca="1" si="38"/>
        <v>4461.2731247820757</v>
      </c>
    </row>
    <row r="823" spans="5:8" x14ac:dyDescent="0.2">
      <c r="E823" s="2">
        <f ca="1"/>
        <v>0.25397108987363159</v>
      </c>
      <c r="F823" s="2">
        <f t="shared" ca="1" si="36"/>
        <v>-0.6620453164203467</v>
      </c>
      <c r="G823" s="72">
        <f t="shared" ca="1" si="37"/>
        <v>-0.16551132910508667</v>
      </c>
      <c r="H823">
        <f t="shared" ca="1" si="38"/>
        <v>3271.1966120308966</v>
      </c>
    </row>
    <row r="824" spans="5:8" x14ac:dyDescent="0.2">
      <c r="E824" s="2">
        <f ca="1"/>
        <v>0.58958679571334294</v>
      </c>
      <c r="F824" s="2">
        <f t="shared" ca="1" si="36"/>
        <v>0.22648219145742321</v>
      </c>
      <c r="G824" s="72">
        <f t="shared" ca="1" si="37"/>
        <v>5.6620547864355802E-2</v>
      </c>
      <c r="H824">
        <f t="shared" ca="1" si="38"/>
        <v>4084.8611247346748</v>
      </c>
    </row>
    <row r="825" spans="5:8" x14ac:dyDescent="0.2">
      <c r="E825" s="2">
        <f ca="1"/>
        <v>0.195145790330437</v>
      </c>
      <c r="F825" s="2">
        <f t="shared" ca="1" si="36"/>
        <v>-0.85908870088645706</v>
      </c>
      <c r="G825" s="72">
        <f t="shared" ca="1" si="37"/>
        <v>-0.21477217522161426</v>
      </c>
      <c r="H825">
        <f t="shared" ca="1" si="38"/>
        <v>3113.9593153678702</v>
      </c>
    </row>
    <row r="826" spans="5:8" x14ac:dyDescent="0.2">
      <c r="E826" s="2">
        <f ca="1"/>
        <v>0.29301505274331463</v>
      </c>
      <c r="F826" s="2">
        <f t="shared" ca="1" si="36"/>
        <v>-0.54459789112495327</v>
      </c>
      <c r="G826" s="72">
        <f t="shared" ca="1" si="37"/>
        <v>-0.13614947278123832</v>
      </c>
      <c r="H826">
        <f t="shared" ca="1" si="38"/>
        <v>3368.6689994485723</v>
      </c>
    </row>
    <row r="827" spans="5:8" x14ac:dyDescent="0.2">
      <c r="E827" s="2">
        <f ca="1"/>
        <v>0.92060929209185849</v>
      </c>
      <c r="F827" s="2">
        <f t="shared" ca="1" si="36"/>
        <v>1.4091818071884603</v>
      </c>
      <c r="G827" s="72">
        <f t="shared" ca="1" si="37"/>
        <v>0.35229545179711508</v>
      </c>
      <c r="H827">
        <f t="shared" ca="1" si="38"/>
        <v>5490.1887480852984</v>
      </c>
    </row>
    <row r="828" spans="5:8" x14ac:dyDescent="0.2">
      <c r="E828" s="2">
        <f ca="1"/>
        <v>0.13208583397562168</v>
      </c>
      <c r="F828" s="2">
        <f t="shared" ca="1" si="36"/>
        <v>-1.1165853276656845</v>
      </c>
      <c r="G828" s="72">
        <f t="shared" ca="1" si="37"/>
        <v>-0.27914633191642113</v>
      </c>
      <c r="H828">
        <f t="shared" ca="1" si="38"/>
        <v>2919.8167327693918</v>
      </c>
    </row>
    <row r="829" spans="5:8" x14ac:dyDescent="0.2">
      <c r="E829" s="2">
        <f ca="1"/>
        <v>0.97443288121896354</v>
      </c>
      <c r="F829" s="2">
        <f t="shared" ca="1" si="36"/>
        <v>1.9503515063672383</v>
      </c>
      <c r="G829" s="72">
        <f t="shared" ca="1" si="37"/>
        <v>0.48758787659180958</v>
      </c>
      <c r="H829">
        <f t="shared" ca="1" si="38"/>
        <v>6285.5607603101289</v>
      </c>
    </row>
    <row r="830" spans="5:8" x14ac:dyDescent="0.2">
      <c r="E830" s="2">
        <f ca="1"/>
        <v>0.48418396589499424</v>
      </c>
      <c r="F830" s="2">
        <f t="shared" ca="1" si="36"/>
        <v>-3.965530911237812E-2</v>
      </c>
      <c r="G830" s="72">
        <f t="shared" ca="1" si="37"/>
        <v>-9.9138272780945301E-3</v>
      </c>
      <c r="H830">
        <f t="shared" ca="1" si="38"/>
        <v>3821.9216894767933</v>
      </c>
    </row>
    <row r="831" spans="5:8" x14ac:dyDescent="0.2">
      <c r="E831" s="2">
        <f ca="1"/>
        <v>0.81493798372579485</v>
      </c>
      <c r="F831" s="2">
        <f t="shared" ca="1" si="36"/>
        <v>0.89624105613711003</v>
      </c>
      <c r="G831" s="72">
        <f t="shared" ca="1" si="37"/>
        <v>0.22406026403427751</v>
      </c>
      <c r="H831">
        <f t="shared" ca="1" si="38"/>
        <v>4829.4251668678098</v>
      </c>
    </row>
    <row r="832" spans="5:8" x14ac:dyDescent="0.2">
      <c r="E832" s="2">
        <f ca="1"/>
        <v>0.85074238662354751</v>
      </c>
      <c r="F832" s="2">
        <f t="shared" ca="1" si="36"/>
        <v>1.0396226991837594</v>
      </c>
      <c r="G832" s="72">
        <f t="shared" ca="1" si="37"/>
        <v>0.25990567479593985</v>
      </c>
      <c r="H832">
        <f t="shared" ca="1" si="38"/>
        <v>5005.6779506666535</v>
      </c>
    </row>
    <row r="833" spans="5:8" x14ac:dyDescent="0.2">
      <c r="E833" s="2">
        <f ca="1"/>
        <v>5.4181051013791004E-2</v>
      </c>
      <c r="F833" s="2">
        <f t="shared" ca="1" si="36"/>
        <v>-1.6055987421576521</v>
      </c>
      <c r="G833" s="72">
        <f t="shared" ca="1" si="37"/>
        <v>-0.40139968553941302</v>
      </c>
      <c r="H833">
        <f t="shared" ca="1" si="38"/>
        <v>2583.8163151808221</v>
      </c>
    </row>
    <row r="834" spans="5:8" x14ac:dyDescent="0.2">
      <c r="E834" s="2">
        <f ca="1"/>
        <v>0.29934871469021807</v>
      </c>
      <c r="F834" s="2">
        <f t="shared" ca="1" si="36"/>
        <v>-0.52627459846440816</v>
      </c>
      <c r="G834" s="72">
        <f t="shared" ca="1" si="37"/>
        <v>-0.13156864961610204</v>
      </c>
      <c r="H834">
        <f t="shared" ca="1" si="38"/>
        <v>3384.1356744424988</v>
      </c>
    </row>
    <row r="835" spans="5:8" x14ac:dyDescent="0.2">
      <c r="E835" s="2">
        <f ca="1"/>
        <v>0.70737911529609399</v>
      </c>
      <c r="F835" s="2">
        <f t="shared" ca="1" si="36"/>
        <v>0.54574422205640882</v>
      </c>
      <c r="G835" s="72">
        <f t="shared" ca="1" si="37"/>
        <v>0.13643605551410221</v>
      </c>
      <c r="H835">
        <f t="shared" ca="1" si="38"/>
        <v>4424.2609120795942</v>
      </c>
    </row>
    <row r="836" spans="5:8" x14ac:dyDescent="0.2">
      <c r="E836" s="2">
        <f ca="1"/>
        <v>0.25897809809557337</v>
      </c>
      <c r="F836" s="2">
        <f t="shared" ca="1" si="36"/>
        <v>-0.64649907467487311</v>
      </c>
      <c r="G836" s="72">
        <f t="shared" ca="1" si="37"/>
        <v>-0.16162476866871828</v>
      </c>
      <c r="H836">
        <f t="shared" ca="1" si="38"/>
        <v>3283.9350536896013</v>
      </c>
    </row>
    <row r="837" spans="5:8" x14ac:dyDescent="0.2">
      <c r="E837" s="2">
        <f ca="1"/>
        <v>0.16726769504756867</v>
      </c>
      <c r="F837" s="2">
        <f t="shared" ca="1" si="36"/>
        <v>-0.96501881072446904</v>
      </c>
      <c r="G837" s="72">
        <f t="shared" ca="1" si="37"/>
        <v>-0.24125470268111726</v>
      </c>
      <c r="H837">
        <f t="shared" ca="1" si="38"/>
        <v>3032.576174201552</v>
      </c>
    </row>
    <row r="838" spans="5:8" x14ac:dyDescent="0.2">
      <c r="E838" s="2">
        <f ca="1"/>
        <v>0.93072428478756919</v>
      </c>
      <c r="F838" s="2">
        <f t="shared" ca="1" si="36"/>
        <v>1.4812069663268266</v>
      </c>
      <c r="G838" s="72">
        <f t="shared" ca="1" si="37"/>
        <v>0.37030174158170664</v>
      </c>
      <c r="H838">
        <f t="shared" ca="1" si="38"/>
        <v>5589.9420761132478</v>
      </c>
    </row>
    <row r="839" spans="5:8" x14ac:dyDescent="0.2">
      <c r="E839" s="2">
        <f ca="1"/>
        <v>0.12497406413031609</v>
      </c>
      <c r="F839" s="2">
        <f t="shared" ca="1" si="36"/>
        <v>-1.1504753813700932</v>
      </c>
      <c r="G839" s="72">
        <f t="shared" ca="1" si="37"/>
        <v>-0.2876188453425233</v>
      </c>
      <c r="H839">
        <f t="shared" ca="1" si="38"/>
        <v>2895.1830482680462</v>
      </c>
    </row>
    <row r="840" spans="5:8" x14ac:dyDescent="0.2">
      <c r="E840" s="2">
        <f ca="1"/>
        <v>8.1754023992178571E-2</v>
      </c>
      <c r="F840" s="2">
        <f t="shared" ca="1" si="36"/>
        <v>-1.3933696187908102</v>
      </c>
      <c r="G840" s="72">
        <f t="shared" ca="1" si="37"/>
        <v>-0.34834240469770256</v>
      </c>
      <c r="H840">
        <f t="shared" ca="1" si="38"/>
        <v>2724.6085836729562</v>
      </c>
    </row>
    <row r="841" spans="5:8" x14ac:dyDescent="0.2">
      <c r="E841" s="2">
        <f ca="1"/>
        <v>0.63569975326216488</v>
      </c>
      <c r="F841" s="2">
        <f t="shared" ca="1" si="36"/>
        <v>0.34698778769682237</v>
      </c>
      <c r="G841" s="72">
        <f t="shared" ca="1" si="37"/>
        <v>8.6746946924205592E-2</v>
      </c>
      <c r="H841">
        <f t="shared" ca="1" si="38"/>
        <v>4209.7957471499549</v>
      </c>
    </row>
    <row r="842" spans="5:8" x14ac:dyDescent="0.2">
      <c r="E842" s="2">
        <f ca="1"/>
        <v>0.20210324922207157</v>
      </c>
      <c r="F842" s="2">
        <f t="shared" ca="1" si="36"/>
        <v>-0.83413218833018044</v>
      </c>
      <c r="G842" s="72">
        <f t="shared" ca="1" si="37"/>
        <v>-0.20853304708254511</v>
      </c>
      <c r="H842">
        <f t="shared" ca="1" si="38"/>
        <v>3133.4484409114875</v>
      </c>
    </row>
    <row r="843" spans="5:8" x14ac:dyDescent="0.2">
      <c r="E843" s="2">
        <f ca="1"/>
        <v>0.95243832897544545</v>
      </c>
      <c r="F843" s="2">
        <f t="shared" ca="1" si="36"/>
        <v>1.6689699160282288</v>
      </c>
      <c r="G843" s="72">
        <f t="shared" ca="1" si="37"/>
        <v>0.41724247900705719</v>
      </c>
      <c r="H843">
        <f t="shared" ca="1" si="38"/>
        <v>5858.5941137956597</v>
      </c>
    </row>
    <row r="844" spans="5:8" x14ac:dyDescent="0.2">
      <c r="E844" s="2">
        <f ca="1"/>
        <v>0.50665539791513736</v>
      </c>
      <c r="F844" s="2">
        <f t="shared" ca="1" si="36"/>
        <v>1.6683382489602459E-2</v>
      </c>
      <c r="G844" s="72">
        <f t="shared" ca="1" si="37"/>
        <v>4.1708456224006148E-3</v>
      </c>
      <c r="H844">
        <f t="shared" ca="1" si="38"/>
        <v>3876.1330850184536</v>
      </c>
    </row>
    <row r="845" spans="5:8" x14ac:dyDescent="0.2">
      <c r="E845" s="2">
        <f ca="1"/>
        <v>0.95160970209437457</v>
      </c>
      <c r="F845" s="2">
        <f t="shared" ca="1" si="36"/>
        <v>1.6606657498094684</v>
      </c>
      <c r="G845" s="72">
        <f t="shared" ca="1" si="37"/>
        <v>0.41516643745236709</v>
      </c>
      <c r="H845">
        <f t="shared" ca="1" si="38"/>
        <v>5846.4440453506959</v>
      </c>
    </row>
    <row r="846" spans="5:8" x14ac:dyDescent="0.2">
      <c r="E846" s="2">
        <f ca="1"/>
        <v>0.51189887804228151</v>
      </c>
      <c r="F846" s="2">
        <f t="shared" ca="1" si="36"/>
        <v>2.9830487696369493E-2</v>
      </c>
      <c r="G846" s="72">
        <f t="shared" ca="1" si="37"/>
        <v>7.4576219240923732E-3</v>
      </c>
      <c r="H846">
        <f t="shared" ca="1" si="38"/>
        <v>3888.8940270775402</v>
      </c>
    </row>
    <row r="847" spans="5:8" x14ac:dyDescent="0.2">
      <c r="E847" s="2">
        <f ca="1"/>
        <v>0.96778678177962529</v>
      </c>
      <c r="F847" s="2">
        <f t="shared" ca="1" si="36"/>
        <v>1.8492173360754849</v>
      </c>
      <c r="G847" s="72">
        <f t="shared" ca="1" si="37"/>
        <v>0.46230433401887122</v>
      </c>
      <c r="H847">
        <f t="shared" ca="1" si="38"/>
        <v>6128.6317377920641</v>
      </c>
    </row>
    <row r="848" spans="5:8" x14ac:dyDescent="0.2">
      <c r="E848" s="2">
        <f ca="1"/>
        <v>0.35022750469520658</v>
      </c>
      <c r="F848" s="2">
        <f t="shared" ca="1" si="36"/>
        <v>-0.38470632384962744</v>
      </c>
      <c r="G848" s="72">
        <f t="shared" ca="1" si="37"/>
        <v>-9.617658096240686E-2</v>
      </c>
      <c r="H848">
        <f t="shared" ca="1" si="38"/>
        <v>3506.0519453344168</v>
      </c>
    </row>
    <row r="849" spans="5:8" x14ac:dyDescent="0.2">
      <c r="E849" s="2">
        <f ca="1"/>
        <v>0.18868112971285833</v>
      </c>
      <c r="F849" s="2">
        <f t="shared" ca="1" si="36"/>
        <v>-0.88276684140145012</v>
      </c>
      <c r="G849" s="72">
        <f t="shared" ca="1" si="37"/>
        <v>-0.22069171035036253</v>
      </c>
      <c r="H849">
        <f t="shared" ca="1" si="38"/>
        <v>3095.5805742800685</v>
      </c>
    </row>
    <row r="850" spans="5:8" x14ac:dyDescent="0.2">
      <c r="E850" s="2">
        <f ca="1"/>
        <v>0.11395951099690205</v>
      </c>
      <c r="F850" s="2">
        <f t="shared" ca="1" si="36"/>
        <v>-1.2057367194158632</v>
      </c>
      <c r="G850" s="72">
        <f t="shared" ca="1" si="37"/>
        <v>-0.30143417985396581</v>
      </c>
      <c r="H850">
        <f t="shared" ca="1" si="38"/>
        <v>2855.460150347792</v>
      </c>
    </row>
    <row r="851" spans="5:8" x14ac:dyDescent="0.2">
      <c r="E851" s="2">
        <f ca="1"/>
        <v>0.23884987131346658</v>
      </c>
      <c r="F851" s="2">
        <f t="shared" ref="F851:F914" ca="1" si="39">_xlfn.NORM.S.INV(E851)</f>
        <v>-0.71000708501589183</v>
      </c>
      <c r="G851" s="72">
        <f t="shared" ref="G851:G914" ca="1" si="40">$G$12+$G$13*F851</f>
        <v>-0.17750177125397296</v>
      </c>
      <c r="H851">
        <f t="shared" ref="H851:H914" ca="1" si="41">$G$11*EXP(G851)</f>
        <v>3232.2077323701524</v>
      </c>
    </row>
    <row r="852" spans="5:8" x14ac:dyDescent="0.2">
      <c r="E852" s="2">
        <f ca="1"/>
        <v>0.86610929122025859</v>
      </c>
      <c r="F852" s="2">
        <f t="shared" ca="1" si="39"/>
        <v>1.1081861811327258</v>
      </c>
      <c r="G852" s="72">
        <f t="shared" ca="1" si="40"/>
        <v>0.27704654528318146</v>
      </c>
      <c r="H852">
        <f t="shared" ca="1" si="41"/>
        <v>5092.2192054639145</v>
      </c>
    </row>
    <row r="853" spans="5:8" x14ac:dyDescent="0.2">
      <c r="E853" s="2">
        <f ca="1"/>
        <v>0.1223832911197329</v>
      </c>
      <c r="F853" s="2">
        <f t="shared" ca="1" si="39"/>
        <v>-1.1631550942549276</v>
      </c>
      <c r="G853" s="72">
        <f t="shared" ca="1" si="40"/>
        <v>-0.29078877356373189</v>
      </c>
      <c r="H853">
        <f t="shared" ca="1" si="41"/>
        <v>2886.0200565036862</v>
      </c>
    </row>
    <row r="854" spans="5:8" x14ac:dyDescent="0.2">
      <c r="E854" s="2">
        <f ca="1"/>
        <v>0.26788542990748798</v>
      </c>
      <c r="F854" s="2">
        <f t="shared" ca="1" si="39"/>
        <v>-0.61922087786978786</v>
      </c>
      <c r="G854" s="72">
        <f t="shared" ca="1" si="40"/>
        <v>-0.15480521946744696</v>
      </c>
      <c r="H854">
        <f t="shared" ca="1" si="41"/>
        <v>3306.4065459970539</v>
      </c>
    </row>
    <row r="855" spans="5:8" x14ac:dyDescent="0.2">
      <c r="E855" s="2">
        <f ca="1"/>
        <v>0.2068032160069524</v>
      </c>
      <c r="F855" s="2">
        <f t="shared" ca="1" si="39"/>
        <v>-0.81756357777405009</v>
      </c>
      <c r="G855" s="72">
        <f t="shared" ca="1" si="40"/>
        <v>-0.20439089444351252</v>
      </c>
      <c r="H855">
        <f t="shared" ca="1" si="41"/>
        <v>3146.4545807525274</v>
      </c>
    </row>
    <row r="856" spans="5:8" x14ac:dyDescent="0.2">
      <c r="E856" s="2">
        <f ca="1"/>
        <v>0.41668528131511917</v>
      </c>
      <c r="F856" s="2">
        <f t="shared" ca="1" si="39"/>
        <v>-0.21038068990735939</v>
      </c>
      <c r="G856" s="72">
        <f t="shared" ca="1" si="40"/>
        <v>-5.2595172476839848E-2</v>
      </c>
      <c r="H856">
        <f t="shared" ca="1" si="41"/>
        <v>3662.2291192729604</v>
      </c>
    </row>
    <row r="857" spans="5:8" x14ac:dyDescent="0.2">
      <c r="E857" s="2">
        <f ca="1"/>
        <v>0.57364840933450556</v>
      </c>
      <c r="F857" s="2">
        <f t="shared" ca="1" si="39"/>
        <v>0.18567047741239892</v>
      </c>
      <c r="G857" s="72">
        <f t="shared" ca="1" si="40"/>
        <v>4.641761935309973E-2</v>
      </c>
      <c r="H857">
        <f t="shared" ca="1" si="41"/>
        <v>4043.3954739489504</v>
      </c>
    </row>
    <row r="858" spans="5:8" x14ac:dyDescent="0.2">
      <c r="E858" s="2">
        <f ca="1"/>
        <v>0.44149367963869146</v>
      </c>
      <c r="F858" s="2">
        <f t="shared" ca="1" si="39"/>
        <v>-0.14718327773885154</v>
      </c>
      <c r="G858" s="72">
        <f t="shared" ca="1" si="40"/>
        <v>-3.6795819434712884E-2</v>
      </c>
      <c r="H858">
        <f t="shared" ca="1" si="41"/>
        <v>3720.5494687920395</v>
      </c>
    </row>
    <row r="859" spans="5:8" x14ac:dyDescent="0.2">
      <c r="E859" s="2">
        <f ca="1"/>
        <v>0.52693055351336127</v>
      </c>
      <c r="F859" s="2">
        <f t="shared" ca="1" si="39"/>
        <v>6.7556237765400803E-2</v>
      </c>
      <c r="G859" s="72">
        <f t="shared" ca="1" si="40"/>
        <v>1.6889059441350201E-2</v>
      </c>
      <c r="H859">
        <f t="shared" ca="1" si="41"/>
        <v>3925.7453956285681</v>
      </c>
    </row>
    <row r="860" spans="5:8" x14ac:dyDescent="0.2">
      <c r="E860" s="2">
        <f ca="1"/>
        <v>0.46816078764176261</v>
      </c>
      <c r="F860" s="2">
        <f t="shared" ca="1" si="39"/>
        <v>-7.9893983151109502E-2</v>
      </c>
      <c r="G860" s="72">
        <f t="shared" ca="1" si="40"/>
        <v>-1.9973495787777375E-2</v>
      </c>
      <c r="H860">
        <f t="shared" ca="1" si="41"/>
        <v>3783.6671607525327</v>
      </c>
    </row>
    <row r="861" spans="5:8" x14ac:dyDescent="0.2">
      <c r="E861" s="2">
        <f ca="1"/>
        <v>0.52834549943682241</v>
      </c>
      <c r="F861" s="2">
        <f t="shared" ca="1" si="39"/>
        <v>7.1111518270002436E-2</v>
      </c>
      <c r="G861" s="72">
        <f t="shared" ca="1" si="40"/>
        <v>1.7777879567500609E-2</v>
      </c>
      <c r="H861">
        <f t="shared" ca="1" si="41"/>
        <v>3929.2362282776903</v>
      </c>
    </row>
    <row r="862" spans="5:8" x14ac:dyDescent="0.2">
      <c r="E862" s="2">
        <f ca="1"/>
        <v>0.42136884233940641</v>
      </c>
      <c r="F862" s="2">
        <f t="shared" ca="1" si="39"/>
        <v>-0.19839288382424433</v>
      </c>
      <c r="G862" s="72">
        <f t="shared" ca="1" si="40"/>
        <v>-4.9598220956061083E-2</v>
      </c>
      <c r="H862">
        <f t="shared" ca="1" si="41"/>
        <v>3673.2211053989313</v>
      </c>
    </row>
    <row r="863" spans="5:8" x14ac:dyDescent="0.2">
      <c r="E863" s="2">
        <f ca="1"/>
        <v>0.68060587504668102</v>
      </c>
      <c r="F863" s="2">
        <f t="shared" ca="1" si="39"/>
        <v>0.46939370109933259</v>
      </c>
      <c r="G863" s="72">
        <f t="shared" ca="1" si="40"/>
        <v>0.11734842527483315</v>
      </c>
      <c r="H863">
        <f t="shared" ca="1" si="41"/>
        <v>4340.6131144778365</v>
      </c>
    </row>
    <row r="864" spans="5:8" x14ac:dyDescent="0.2">
      <c r="E864" s="2">
        <f ca="1"/>
        <v>0.85832240198388443</v>
      </c>
      <c r="F864" s="2">
        <f t="shared" ca="1" si="39"/>
        <v>1.0728126229526374</v>
      </c>
      <c r="G864" s="72">
        <f t="shared" ca="1" si="40"/>
        <v>0.26820315573815934</v>
      </c>
      <c r="H864">
        <f t="shared" ca="1" si="41"/>
        <v>5047.3852615848145</v>
      </c>
    </row>
    <row r="865" spans="5:8" x14ac:dyDescent="0.2">
      <c r="E865" s="2">
        <f ca="1"/>
        <v>0.30346752320077441</v>
      </c>
      <c r="F865" s="2">
        <f t="shared" ca="1" si="39"/>
        <v>-0.51445338055153744</v>
      </c>
      <c r="G865" s="72">
        <f t="shared" ca="1" si="40"/>
        <v>-0.12861334513788436</v>
      </c>
      <c r="H865">
        <f t="shared" ca="1" si="41"/>
        <v>3394.1516185485198</v>
      </c>
    </row>
    <row r="866" spans="5:8" x14ac:dyDescent="0.2">
      <c r="E866" s="2">
        <f ca="1"/>
        <v>0.83454753480313792</v>
      </c>
      <c r="F866" s="2">
        <f t="shared" ca="1" si="39"/>
        <v>0.97229274839764313</v>
      </c>
      <c r="G866" s="72">
        <f t="shared" ca="1" si="40"/>
        <v>0.24307318709941078</v>
      </c>
      <c r="H866">
        <f t="shared" ca="1" si="41"/>
        <v>4922.1251119751414</v>
      </c>
    </row>
    <row r="867" spans="5:8" x14ac:dyDescent="0.2">
      <c r="E867" s="2">
        <f ca="1"/>
        <v>0.46673673983944508</v>
      </c>
      <c r="F867" s="2">
        <f t="shared" ca="1" si="39"/>
        <v>-8.3475472176921001E-2</v>
      </c>
      <c r="G867" s="72">
        <f t="shared" ca="1" si="40"/>
        <v>-2.086886804423025E-2</v>
      </c>
      <c r="H867">
        <f t="shared" ca="1" si="41"/>
        <v>3780.2808863634427</v>
      </c>
    </row>
    <row r="868" spans="5:8" x14ac:dyDescent="0.2">
      <c r="E868" s="2">
        <f ca="1"/>
        <v>0.80578545297878379</v>
      </c>
      <c r="F868" s="2">
        <f t="shared" ca="1" si="39"/>
        <v>0.86246971055385069</v>
      </c>
      <c r="G868" s="72">
        <f t="shared" ca="1" si="40"/>
        <v>0.21561742763846267</v>
      </c>
      <c r="H868">
        <f t="shared" ca="1" si="41"/>
        <v>4788.8227612152468</v>
      </c>
    </row>
    <row r="869" spans="5:8" x14ac:dyDescent="0.2">
      <c r="E869" s="2">
        <f ca="1"/>
        <v>0.62873524232431466</v>
      </c>
      <c r="F869" s="2">
        <f t="shared" ca="1" si="39"/>
        <v>0.32850546174253925</v>
      </c>
      <c r="G869" s="72">
        <f t="shared" ca="1" si="40"/>
        <v>8.2126365435634813E-2</v>
      </c>
      <c r="H869">
        <f t="shared" ca="1" si="41"/>
        <v>4190.3889128073815</v>
      </c>
    </row>
    <row r="870" spans="5:8" x14ac:dyDescent="0.2">
      <c r="E870" s="2">
        <f ca="1"/>
        <v>0.84032874674313884</v>
      </c>
      <c r="F870" s="2">
        <f t="shared" ca="1" si="39"/>
        <v>0.99580992606621155</v>
      </c>
      <c r="G870" s="72">
        <f t="shared" ca="1" si="40"/>
        <v>0.24895248151655289</v>
      </c>
      <c r="H870">
        <f t="shared" ca="1" si="41"/>
        <v>4951.1489709690995</v>
      </c>
    </row>
    <row r="871" spans="5:8" x14ac:dyDescent="0.2">
      <c r="E871" s="2">
        <f ca="1"/>
        <v>1.7509327038157663E-2</v>
      </c>
      <c r="F871" s="2">
        <f t="shared" ca="1" si="39"/>
        <v>-2.1081426284945373</v>
      </c>
      <c r="G871" s="72">
        <f t="shared" ca="1" si="40"/>
        <v>-0.52703565712363432</v>
      </c>
      <c r="H871">
        <f t="shared" ca="1" si="41"/>
        <v>2278.7602073242856</v>
      </c>
    </row>
    <row r="872" spans="5:8" x14ac:dyDescent="0.2">
      <c r="E872" s="2">
        <f ca="1"/>
        <v>0.99606157417580055</v>
      </c>
      <c r="F872" s="2">
        <f t="shared" ca="1" si="39"/>
        <v>2.6573034080416291</v>
      </c>
      <c r="G872" s="72">
        <f t="shared" ca="1" si="40"/>
        <v>0.66432585201040728</v>
      </c>
      <c r="H872">
        <f t="shared" ca="1" si="41"/>
        <v>7500.6751424726153</v>
      </c>
    </row>
    <row r="873" spans="5:8" x14ac:dyDescent="0.2">
      <c r="E873" s="2">
        <f ca="1"/>
        <v>9.9242902331504013E-2</v>
      </c>
      <c r="F873" s="2">
        <f t="shared" ca="1" si="39"/>
        <v>-1.2858775361759383</v>
      </c>
      <c r="G873" s="72">
        <f t="shared" ca="1" si="40"/>
        <v>-0.32146938404398456</v>
      </c>
      <c r="H873">
        <f t="shared" ca="1" si="41"/>
        <v>2798.8197191356353</v>
      </c>
    </row>
    <row r="874" spans="5:8" x14ac:dyDescent="0.2">
      <c r="E874" s="2">
        <f ca="1"/>
        <v>0.20200555812691379</v>
      </c>
      <c r="F874" s="2">
        <f t="shared" ca="1" si="39"/>
        <v>-0.83447899998708364</v>
      </c>
      <c r="G874" s="72">
        <f t="shared" ca="1" si="40"/>
        <v>-0.20861974999677091</v>
      </c>
      <c r="H874">
        <f t="shared" ca="1" si="41"/>
        <v>3133.1767735774297</v>
      </c>
    </row>
    <row r="875" spans="5:8" x14ac:dyDescent="0.2">
      <c r="E875" s="2">
        <f ca="1"/>
        <v>0.3129904064415876</v>
      </c>
      <c r="F875" s="2">
        <f t="shared" ca="1" si="39"/>
        <v>-0.48739164556878656</v>
      </c>
      <c r="G875" s="72">
        <f t="shared" ca="1" si="40"/>
        <v>-0.12184791139219664</v>
      </c>
      <c r="H875">
        <f t="shared" ca="1" si="41"/>
        <v>3417.1923789322082</v>
      </c>
    </row>
    <row r="876" spans="5:8" x14ac:dyDescent="0.2">
      <c r="E876" s="2">
        <f ca="1"/>
        <v>0.38101242122744283</v>
      </c>
      <c r="F876" s="2">
        <f t="shared" ca="1" si="39"/>
        <v>-0.30282288451203948</v>
      </c>
      <c r="G876" s="72">
        <f t="shared" ca="1" si="40"/>
        <v>-7.570572112800987E-2</v>
      </c>
      <c r="H876">
        <f t="shared" ca="1" si="41"/>
        <v>3578.5634980120567</v>
      </c>
    </row>
    <row r="877" spans="5:8" x14ac:dyDescent="0.2">
      <c r="E877" s="2">
        <f ca="1"/>
        <v>0.47226971579610244</v>
      </c>
      <c r="F877" s="2">
        <f t="shared" ca="1" si="39"/>
        <v>-6.9565582678418919E-2</v>
      </c>
      <c r="G877" s="72">
        <f t="shared" ca="1" si="40"/>
        <v>-1.739139566960473E-2</v>
      </c>
      <c r="H877">
        <f t="shared" ca="1" si="41"/>
        <v>3793.4495923491772</v>
      </c>
    </row>
    <row r="878" spans="5:8" x14ac:dyDescent="0.2">
      <c r="E878" s="2">
        <f ca="1"/>
        <v>0.63865284901201536</v>
      </c>
      <c r="F878" s="2">
        <f t="shared" ca="1" si="39"/>
        <v>0.35486023243814024</v>
      </c>
      <c r="G878" s="72">
        <f t="shared" ca="1" si="40"/>
        <v>8.8715058109535061E-2</v>
      </c>
      <c r="H878">
        <f t="shared" ca="1" si="41"/>
        <v>4218.0892518404999</v>
      </c>
    </row>
    <row r="879" spans="5:8" x14ac:dyDescent="0.2">
      <c r="E879" s="2">
        <f ca="1"/>
        <v>0.4430042685127682</v>
      </c>
      <c r="F879" s="2">
        <f t="shared" ca="1" si="39"/>
        <v>-0.14335662536365265</v>
      </c>
      <c r="G879" s="72">
        <f t="shared" ca="1" si="40"/>
        <v>-3.5839156340913163E-2</v>
      </c>
      <c r="H879">
        <f t="shared" ca="1" si="41"/>
        <v>3724.1104842319246</v>
      </c>
    </row>
    <row r="880" spans="5:8" x14ac:dyDescent="0.2">
      <c r="E880" s="2">
        <f ca="1"/>
        <v>0.87301916292100934</v>
      </c>
      <c r="F880" s="2">
        <f t="shared" ca="1" si="39"/>
        <v>1.1407795466195727</v>
      </c>
      <c r="G880" s="72">
        <f t="shared" ca="1" si="40"/>
        <v>0.28519488665489318</v>
      </c>
      <c r="H880">
        <f t="shared" ca="1" si="41"/>
        <v>5133.881856122287</v>
      </c>
    </row>
    <row r="881" spans="5:8" x14ac:dyDescent="0.2">
      <c r="E881" s="2">
        <f ca="1"/>
        <v>0.54948002734672263</v>
      </c>
      <c r="F881" s="2">
        <f t="shared" ca="1" si="39"/>
        <v>0.12434774533931704</v>
      </c>
      <c r="G881" s="72">
        <f t="shared" ca="1" si="40"/>
        <v>3.1086936334829261E-2</v>
      </c>
      <c r="H881">
        <f t="shared" ca="1" si="41"/>
        <v>3981.8802000253545</v>
      </c>
    </row>
    <row r="882" spans="5:8" x14ac:dyDescent="0.2">
      <c r="E882" s="2">
        <f ca="1"/>
        <v>0.29551499566597861</v>
      </c>
      <c r="F882" s="2">
        <f t="shared" ca="1" si="39"/>
        <v>-0.53734403811763387</v>
      </c>
      <c r="G882" s="72">
        <f t="shared" ca="1" si="40"/>
        <v>-0.13433600952940847</v>
      </c>
      <c r="H882">
        <f t="shared" ca="1" si="41"/>
        <v>3374.7834994214491</v>
      </c>
    </row>
    <row r="883" spans="5:8" x14ac:dyDescent="0.2">
      <c r="E883" s="2">
        <f ca="1"/>
        <v>0.67510267104429733</v>
      </c>
      <c r="F883" s="2">
        <f t="shared" ca="1" si="39"/>
        <v>0.45404747368245713</v>
      </c>
      <c r="G883" s="72">
        <f t="shared" ca="1" si="40"/>
        <v>0.11351186842061428</v>
      </c>
      <c r="H883">
        <f t="shared" ca="1" si="41"/>
        <v>4323.9920097759577</v>
      </c>
    </row>
    <row r="884" spans="5:8" x14ac:dyDescent="0.2">
      <c r="E884" s="2">
        <f ca="1"/>
        <v>0.69135473244230283</v>
      </c>
      <c r="F884" s="2">
        <f t="shared" ca="1" si="39"/>
        <v>0.49969403237118704</v>
      </c>
      <c r="G884" s="72">
        <f t="shared" ca="1" si="40"/>
        <v>0.12492350809279676</v>
      </c>
      <c r="H884">
        <f t="shared" ca="1" si="41"/>
        <v>4373.6184696244554</v>
      </c>
    </row>
    <row r="885" spans="5:8" x14ac:dyDescent="0.2">
      <c r="E885" s="2">
        <f ca="1"/>
        <v>0.24039715641708215</v>
      </c>
      <c r="F885" s="2">
        <f t="shared" ca="1" si="39"/>
        <v>-0.70502558735122645</v>
      </c>
      <c r="G885" s="72">
        <f t="shared" ca="1" si="40"/>
        <v>-0.17625639683780661</v>
      </c>
      <c r="H885">
        <f t="shared" ca="1" si="41"/>
        <v>3236.2355487369282</v>
      </c>
    </row>
    <row r="886" spans="5:8" x14ac:dyDescent="0.2">
      <c r="E886" s="2">
        <f ca="1"/>
        <v>0.27830986917321576</v>
      </c>
      <c r="F886" s="2">
        <f t="shared" ca="1" si="39"/>
        <v>-0.58786972585385699</v>
      </c>
      <c r="G886" s="72">
        <f t="shared" ca="1" si="40"/>
        <v>-0.14696743146346425</v>
      </c>
      <c r="H886">
        <f t="shared" ca="1" si="41"/>
        <v>3332.4232832090975</v>
      </c>
    </row>
    <row r="887" spans="5:8" x14ac:dyDescent="0.2">
      <c r="E887" s="2">
        <f ca="1"/>
        <v>0.48274973180306668</v>
      </c>
      <c r="F887" s="2">
        <f t="shared" ca="1" si="39"/>
        <v>-4.3253493128760132E-2</v>
      </c>
      <c r="G887" s="72">
        <f t="shared" ca="1" si="40"/>
        <v>-1.0813373282190033E-2</v>
      </c>
      <c r="H887">
        <f t="shared" ca="1" si="41"/>
        <v>3818.4852409465566</v>
      </c>
    </row>
    <row r="888" spans="5:8" x14ac:dyDescent="0.2">
      <c r="E888" s="2">
        <f ca="1"/>
        <v>0.40726262796845547</v>
      </c>
      <c r="F888" s="2">
        <f t="shared" ca="1" si="39"/>
        <v>-0.23459221055427487</v>
      </c>
      <c r="G888" s="72">
        <f t="shared" ca="1" si="40"/>
        <v>-5.8648052638568718E-2</v>
      </c>
      <c r="H888">
        <f t="shared" ca="1" si="41"/>
        <v>3640.1290373369789</v>
      </c>
    </row>
    <row r="889" spans="5:8" x14ac:dyDescent="0.2">
      <c r="E889" s="2">
        <f ca="1"/>
        <v>0.1891712177576963</v>
      </c>
      <c r="F889" s="2">
        <f t="shared" ca="1" si="39"/>
        <v>-0.88095452197878343</v>
      </c>
      <c r="G889" s="72">
        <f t="shared" ca="1" si="40"/>
        <v>-0.22023863049469586</v>
      </c>
      <c r="H889">
        <f t="shared" ca="1" si="41"/>
        <v>3096.9834372603477</v>
      </c>
    </row>
    <row r="890" spans="5:8" x14ac:dyDescent="0.2">
      <c r="E890" s="2">
        <f ca="1"/>
        <v>0.67952369385602052</v>
      </c>
      <c r="F890" s="2">
        <f t="shared" ca="1" si="39"/>
        <v>0.46636730187344144</v>
      </c>
      <c r="G890" s="72">
        <f t="shared" ca="1" si="40"/>
        <v>0.11659182546836036</v>
      </c>
      <c r="H890">
        <f t="shared" ca="1" si="41"/>
        <v>4337.3302494995578</v>
      </c>
    </row>
    <row r="891" spans="5:8" x14ac:dyDescent="0.2">
      <c r="E891" s="2">
        <f ca="1"/>
        <v>0.95157619368547275</v>
      </c>
      <c r="F891" s="2">
        <f t="shared" ca="1" si="39"/>
        <v>1.6603323429694952</v>
      </c>
      <c r="G891" s="72">
        <f t="shared" ca="1" si="40"/>
        <v>0.41508308574237379</v>
      </c>
      <c r="H891">
        <f t="shared" ca="1" si="41"/>
        <v>5845.9567545506789</v>
      </c>
    </row>
    <row r="892" spans="5:8" x14ac:dyDescent="0.2">
      <c r="E892" s="2">
        <f ca="1"/>
        <v>0.23042772478325557</v>
      </c>
      <c r="F892" s="2">
        <f t="shared" ca="1" si="39"/>
        <v>-0.7374389611628317</v>
      </c>
      <c r="G892" s="72">
        <f t="shared" ca="1" si="40"/>
        <v>-0.18435974029070792</v>
      </c>
      <c r="H892">
        <f t="shared" ca="1" si="41"/>
        <v>3210.1171865405795</v>
      </c>
    </row>
    <row r="893" spans="5:8" x14ac:dyDescent="0.2">
      <c r="E893" s="2">
        <f ca="1"/>
        <v>0.66052142623024834</v>
      </c>
      <c r="F893" s="2">
        <f t="shared" ca="1" si="39"/>
        <v>0.41388661412664307</v>
      </c>
      <c r="G893" s="72">
        <f t="shared" ca="1" si="40"/>
        <v>0.10347165353166077</v>
      </c>
      <c r="H893">
        <f t="shared" ca="1" si="41"/>
        <v>4280.7954152375842</v>
      </c>
    </row>
    <row r="894" spans="5:8" x14ac:dyDescent="0.2">
      <c r="E894" s="2">
        <f ca="1"/>
        <v>0.39511535518933916</v>
      </c>
      <c r="F894" s="2">
        <f t="shared" ca="1" si="39"/>
        <v>-0.26601103505954793</v>
      </c>
      <c r="G894" s="72">
        <f t="shared" ca="1" si="40"/>
        <v>-6.6502758764886982E-2</v>
      </c>
      <c r="H894">
        <f t="shared" ca="1" si="41"/>
        <v>3611.648891501547</v>
      </c>
    </row>
    <row r="895" spans="5:8" x14ac:dyDescent="0.2">
      <c r="E895" s="2">
        <f ca="1"/>
        <v>0.1661618762237278</v>
      </c>
      <c r="F895" s="2">
        <f t="shared" ca="1" si="39"/>
        <v>-0.96944391089703363</v>
      </c>
      <c r="G895" s="72">
        <f t="shared" ca="1" si="40"/>
        <v>-0.24236097772425841</v>
      </c>
      <c r="H895">
        <f t="shared" ca="1" si="41"/>
        <v>3029.2231658802848</v>
      </c>
    </row>
    <row r="896" spans="5:8" x14ac:dyDescent="0.2">
      <c r="E896" s="2">
        <f ca="1"/>
        <v>4.6017350095152842E-2</v>
      </c>
      <c r="F896" s="2">
        <f t="shared" ca="1" si="39"/>
        <v>-1.6847609584115071</v>
      </c>
      <c r="G896" s="72">
        <f t="shared" ca="1" si="40"/>
        <v>-0.42119023960287677</v>
      </c>
      <c r="H896">
        <f t="shared" ca="1" si="41"/>
        <v>2533.1838337105919</v>
      </c>
    </row>
    <row r="897" spans="5:8" x14ac:dyDescent="0.2">
      <c r="E897" s="2">
        <f ca="1"/>
        <v>0.38997663961066742</v>
      </c>
      <c r="F897" s="2">
        <f t="shared" ca="1" si="39"/>
        <v>-0.27937992015275487</v>
      </c>
      <c r="G897" s="72">
        <f t="shared" ca="1" si="40"/>
        <v>-6.9844980038188717E-2</v>
      </c>
      <c r="H897">
        <f t="shared" ca="1" si="41"/>
        <v>3599.5981111496108</v>
      </c>
    </row>
    <row r="898" spans="5:8" x14ac:dyDescent="0.2">
      <c r="E898" s="2">
        <f ca="1"/>
        <v>0.46846677491957167</v>
      </c>
      <c r="F898" s="2">
        <f t="shared" ca="1" si="39"/>
        <v>-7.9124558564713038E-2</v>
      </c>
      <c r="G898" s="72">
        <f t="shared" ca="1" si="40"/>
        <v>-1.9781139641178259E-2</v>
      </c>
      <c r="H898">
        <f t="shared" ca="1" si="41"/>
        <v>3784.3950423915981</v>
      </c>
    </row>
    <row r="899" spans="5:8" x14ac:dyDescent="0.2">
      <c r="E899" s="2">
        <f ca="1"/>
        <v>0.35775146132576552</v>
      </c>
      <c r="F899" s="2">
        <f t="shared" ca="1" si="39"/>
        <v>-0.36447555759895717</v>
      </c>
      <c r="G899" s="72">
        <f t="shared" ca="1" si="40"/>
        <v>-9.1118889399739292E-2</v>
      </c>
      <c r="H899">
        <f t="shared" ca="1" si="41"/>
        <v>3523.82939320472</v>
      </c>
    </row>
    <row r="900" spans="5:8" x14ac:dyDescent="0.2">
      <c r="E900" s="2">
        <f ca="1"/>
        <v>5.6840344122758291E-2</v>
      </c>
      <c r="F900" s="2">
        <f t="shared" ca="1" si="39"/>
        <v>-1.5818637046545079</v>
      </c>
      <c r="G900" s="72">
        <f t="shared" ca="1" si="40"/>
        <v>-0.39546592616362697</v>
      </c>
      <c r="H900">
        <f t="shared" ca="1" si="41"/>
        <v>2599.1936370111694</v>
      </c>
    </row>
    <row r="901" spans="5:8" x14ac:dyDescent="0.2">
      <c r="E901" s="2">
        <f ca="1"/>
        <v>0.43784060511769418</v>
      </c>
      <c r="F901" s="2">
        <f t="shared" ca="1" si="39"/>
        <v>-0.15644634324333659</v>
      </c>
      <c r="G901" s="72">
        <f t="shared" ca="1" si="40"/>
        <v>-3.9111585810834147E-2</v>
      </c>
      <c r="H901">
        <f t="shared" ca="1" si="41"/>
        <v>3711.9435139679049</v>
      </c>
    </row>
    <row r="902" spans="5:8" x14ac:dyDescent="0.2">
      <c r="E902" s="2">
        <f ca="1"/>
        <v>2.2125689145374938E-2</v>
      </c>
      <c r="F902" s="2">
        <f t="shared" ca="1" si="39"/>
        <v>-2.0117018234576185</v>
      </c>
      <c r="G902" s="72">
        <f t="shared" ca="1" si="40"/>
        <v>-0.50292545586440462</v>
      </c>
      <c r="H902">
        <f t="shared" ca="1" si="41"/>
        <v>2334.369253413784</v>
      </c>
    </row>
    <row r="903" spans="5:8" x14ac:dyDescent="0.2">
      <c r="E903" s="2">
        <f ca="1"/>
        <v>0.75106359961123359</v>
      </c>
      <c r="F903" s="2">
        <f t="shared" ca="1" si="39"/>
        <v>0.67784054460692167</v>
      </c>
      <c r="G903" s="72">
        <f t="shared" ca="1" si="40"/>
        <v>0.16946013615173042</v>
      </c>
      <c r="H903">
        <f t="shared" ca="1" si="41"/>
        <v>4572.8073662154011</v>
      </c>
    </row>
    <row r="904" spans="5:8" x14ac:dyDescent="0.2">
      <c r="E904" s="2">
        <f ca="1"/>
        <v>0.19471378834615538</v>
      </c>
      <c r="F904" s="2">
        <f t="shared" ca="1" si="39"/>
        <v>-0.86065592137059554</v>
      </c>
      <c r="G904" s="72">
        <f t="shared" ca="1" si="40"/>
        <v>-0.21516398034264889</v>
      </c>
      <c r="H904">
        <f t="shared" ca="1" si="41"/>
        <v>3112.7394891441008</v>
      </c>
    </row>
    <row r="905" spans="5:8" x14ac:dyDescent="0.2">
      <c r="E905" s="2">
        <f ca="1"/>
        <v>0.18678429359618187</v>
      </c>
      <c r="F905" s="2">
        <f t="shared" ca="1" si="39"/>
        <v>-0.88980875042421026</v>
      </c>
      <c r="G905" s="72">
        <f t="shared" ca="1" si="40"/>
        <v>-0.22245218760605256</v>
      </c>
      <c r="H905">
        <f t="shared" ca="1" si="41"/>
        <v>3090.1356693078478</v>
      </c>
    </row>
    <row r="906" spans="5:8" x14ac:dyDescent="0.2">
      <c r="E906" s="2">
        <f ca="1"/>
        <v>0.79468161405133975</v>
      </c>
      <c r="F906" s="2">
        <f t="shared" ca="1" si="39"/>
        <v>0.82277356536062107</v>
      </c>
      <c r="G906" s="72">
        <f t="shared" ca="1" si="40"/>
        <v>0.20569339134015527</v>
      </c>
      <c r="H906">
        <f t="shared" ca="1" si="41"/>
        <v>4741.5333493401777</v>
      </c>
    </row>
    <row r="907" spans="5:8" x14ac:dyDescent="0.2">
      <c r="E907" s="2">
        <f ca="1"/>
        <v>0.65594619480914074</v>
      </c>
      <c r="F907" s="2">
        <f t="shared" ca="1" si="39"/>
        <v>0.40142450541131269</v>
      </c>
      <c r="G907" s="72">
        <f t="shared" ca="1" si="40"/>
        <v>0.10035612635282817</v>
      </c>
      <c r="H907">
        <f t="shared" ca="1" si="41"/>
        <v>4267.479235006238</v>
      </c>
    </row>
    <row r="908" spans="5:8" x14ac:dyDescent="0.2">
      <c r="E908" s="2">
        <f ca="1"/>
        <v>0.79462997129520185</v>
      </c>
      <c r="F908" s="2">
        <f t="shared" ca="1" si="39"/>
        <v>0.8225919861564519</v>
      </c>
      <c r="G908" s="72">
        <f t="shared" ca="1" si="40"/>
        <v>0.20564799653911298</v>
      </c>
      <c r="H908">
        <f t="shared" ca="1" si="41"/>
        <v>4741.318113262485</v>
      </c>
    </row>
    <row r="909" spans="5:8" x14ac:dyDescent="0.2">
      <c r="E909" s="2">
        <f ca="1"/>
        <v>0.29602447139370081</v>
      </c>
      <c r="F909" s="2">
        <f t="shared" ca="1" si="39"/>
        <v>-0.53586921381418373</v>
      </c>
      <c r="G909" s="72">
        <f t="shared" ca="1" si="40"/>
        <v>-0.13396730345354593</v>
      </c>
      <c r="H909">
        <f t="shared" ca="1" si="41"/>
        <v>3376.028032021673</v>
      </c>
    </row>
    <row r="910" spans="5:8" x14ac:dyDescent="0.2">
      <c r="E910" s="2">
        <f ca="1"/>
        <v>0.70543521567324441</v>
      </c>
      <c r="F910" s="2">
        <f t="shared" ca="1" si="39"/>
        <v>0.54009782778115012</v>
      </c>
      <c r="G910" s="72">
        <f t="shared" ca="1" si="40"/>
        <v>0.13502445694528753</v>
      </c>
      <c r="H910">
        <f t="shared" ca="1" si="41"/>
        <v>4418.0200375491204</v>
      </c>
    </row>
    <row r="911" spans="5:8" x14ac:dyDescent="0.2">
      <c r="E911" s="2">
        <f ca="1"/>
        <v>1.9937147805026312E-2</v>
      </c>
      <c r="F911" s="2">
        <f t="shared" ca="1" si="39"/>
        <v>-2.0550487571183922</v>
      </c>
      <c r="G911" s="72">
        <f t="shared" ca="1" si="40"/>
        <v>-0.51376218927959805</v>
      </c>
      <c r="H911">
        <f t="shared" ca="1" si="41"/>
        <v>2309.2088904197949</v>
      </c>
    </row>
    <row r="912" spans="5:8" x14ac:dyDescent="0.2">
      <c r="E912" s="2">
        <f ca="1"/>
        <v>6.6897971188926153E-3</v>
      </c>
      <c r="F912" s="2">
        <f t="shared" ca="1" si="39"/>
        <v>-2.4735023013733728</v>
      </c>
      <c r="G912" s="72">
        <f t="shared" ca="1" si="40"/>
        <v>-0.6183755753433432</v>
      </c>
      <c r="H912">
        <f t="shared" ca="1" si="41"/>
        <v>2079.8413320460681</v>
      </c>
    </row>
    <row r="913" spans="5:8" x14ac:dyDescent="0.2">
      <c r="E913" s="2">
        <f ca="1"/>
        <v>0.5791173923321753</v>
      </c>
      <c r="F913" s="2">
        <f t="shared" ca="1" si="39"/>
        <v>0.19963607060562272</v>
      </c>
      <c r="G913" s="72">
        <f t="shared" ca="1" si="40"/>
        <v>4.9909017651405679E-2</v>
      </c>
      <c r="H913">
        <f t="shared" ca="1" si="41"/>
        <v>4057.5372509486269</v>
      </c>
    </row>
    <row r="914" spans="5:8" x14ac:dyDescent="0.2">
      <c r="E914" s="2">
        <f ca="1"/>
        <v>0.56156097005460137</v>
      </c>
      <c r="F914" s="2">
        <f t="shared" ca="1" si="39"/>
        <v>0.15492802468107256</v>
      </c>
      <c r="G914" s="72">
        <f t="shared" ca="1" si="40"/>
        <v>3.8732006170268139E-2</v>
      </c>
      <c r="H914">
        <f t="shared" ca="1" si="41"/>
        <v>4012.438613997947</v>
      </c>
    </row>
    <row r="915" spans="5:8" x14ac:dyDescent="0.2">
      <c r="E915" s="2">
        <f ca="1"/>
        <v>0.78878645236257694</v>
      </c>
      <c r="F915" s="2">
        <f t="shared" ref="F915:F978" ca="1" si="42">_xlfn.NORM.S.INV(E915)</f>
        <v>0.80221760345739357</v>
      </c>
      <c r="G915" s="72">
        <f t="shared" ref="G915:G978" ca="1" si="43">$G$12+$G$13*F915</f>
        <v>0.20055440086434839</v>
      </c>
      <c r="H915">
        <f t="shared" ref="H915:H978" ca="1" si="44">$G$11*EXP(G915)</f>
        <v>4717.2291576099879</v>
      </c>
    </row>
    <row r="916" spans="5:8" x14ac:dyDescent="0.2">
      <c r="E916" s="2">
        <f ca="1"/>
        <v>0.38210658220019633</v>
      </c>
      <c r="F916" s="2">
        <f t="shared" ca="1" si="42"/>
        <v>-0.29995279277172604</v>
      </c>
      <c r="G916" s="72">
        <f t="shared" ca="1" si="43"/>
        <v>-7.498819819293151E-2</v>
      </c>
      <c r="H916">
        <f t="shared" ca="1" si="44"/>
        <v>3581.1321208091967</v>
      </c>
    </row>
    <row r="917" spans="5:8" x14ac:dyDescent="0.2">
      <c r="E917" s="2">
        <f ca="1"/>
        <v>0.55719467238747389</v>
      </c>
      <c r="F917" s="2">
        <f t="shared" ca="1" si="42"/>
        <v>0.14386046500604938</v>
      </c>
      <c r="G917" s="72">
        <f t="shared" ca="1" si="43"/>
        <v>3.5965116251512344E-2</v>
      </c>
      <c r="H917">
        <f t="shared" ca="1" si="44"/>
        <v>4001.351982864182</v>
      </c>
    </row>
    <row r="918" spans="5:8" x14ac:dyDescent="0.2">
      <c r="E918" s="2">
        <f ca="1"/>
        <v>0.79080306664343047</v>
      </c>
      <c r="F918" s="2">
        <f t="shared" ca="1" si="42"/>
        <v>0.80921086443658707</v>
      </c>
      <c r="G918" s="72">
        <f t="shared" ca="1" si="43"/>
        <v>0.20230271610914677</v>
      </c>
      <c r="H918">
        <f t="shared" ca="1" si="44"/>
        <v>4725.4835748186242</v>
      </c>
    </row>
    <row r="919" spans="5:8" x14ac:dyDescent="0.2">
      <c r="E919" s="2">
        <f ca="1"/>
        <v>0.19978170991684108</v>
      </c>
      <c r="F919" s="2">
        <f t="shared" ca="1" si="42"/>
        <v>-0.84240120307686162</v>
      </c>
      <c r="G919" s="72">
        <f t="shared" ca="1" si="43"/>
        <v>-0.2106003007692154</v>
      </c>
      <c r="H919">
        <f t="shared" ca="1" si="44"/>
        <v>3126.9774989138568</v>
      </c>
    </row>
    <row r="920" spans="5:8" x14ac:dyDescent="0.2">
      <c r="E920" s="2">
        <f ca="1"/>
        <v>0.75148525466797245</v>
      </c>
      <c r="F920" s="2">
        <f t="shared" ca="1" si="42"/>
        <v>0.67917104609500867</v>
      </c>
      <c r="G920" s="72">
        <f t="shared" ca="1" si="43"/>
        <v>0.16979276152375217</v>
      </c>
      <c r="H920">
        <f t="shared" ca="1" si="44"/>
        <v>4574.3286509616992</v>
      </c>
    </row>
    <row r="921" spans="5:8" x14ac:dyDescent="0.2">
      <c r="E921" s="2">
        <f ca="1"/>
        <v>0.79616682491226864</v>
      </c>
      <c r="F921" s="2">
        <f t="shared" ca="1" si="42"/>
        <v>0.82800732744645411</v>
      </c>
      <c r="G921" s="72">
        <f t="shared" ca="1" si="43"/>
        <v>0.20700183186161353</v>
      </c>
      <c r="H921">
        <f t="shared" ca="1" si="44"/>
        <v>4747.7414242710056</v>
      </c>
    </row>
    <row r="922" spans="5:8" x14ac:dyDescent="0.2">
      <c r="E922" s="2">
        <f ca="1"/>
        <v>0.24332399124127924</v>
      </c>
      <c r="F922" s="2">
        <f t="shared" ca="1" si="42"/>
        <v>-0.69565010031126095</v>
      </c>
      <c r="G922" s="72">
        <f t="shared" ca="1" si="43"/>
        <v>-0.17391252507781524</v>
      </c>
      <c r="H922">
        <f t="shared" ca="1" si="44"/>
        <v>3243.8297663076264</v>
      </c>
    </row>
    <row r="923" spans="5:8" x14ac:dyDescent="0.2">
      <c r="E923" s="2">
        <f ca="1"/>
        <v>0.83599378560716664</v>
      </c>
      <c r="F923" s="2">
        <f t="shared" ca="1" si="42"/>
        <v>0.9781251532238816</v>
      </c>
      <c r="G923" s="72">
        <f t="shared" ca="1" si="43"/>
        <v>0.2445312883059704</v>
      </c>
      <c r="H923">
        <f t="shared" ca="1" si="44"/>
        <v>4929.3073034482959</v>
      </c>
    </row>
    <row r="924" spans="5:8" x14ac:dyDescent="0.2">
      <c r="E924" s="2">
        <f ca="1"/>
        <v>0.68341775072483757</v>
      </c>
      <c r="F924" s="2">
        <f t="shared" ca="1" si="42"/>
        <v>0.47727754516578247</v>
      </c>
      <c r="G924" s="72">
        <f t="shared" ca="1" si="43"/>
        <v>0.11931938629144562</v>
      </c>
      <c r="H924">
        <f t="shared" ca="1" si="44"/>
        <v>4349.1767302188155</v>
      </c>
    </row>
    <row r="925" spans="5:8" x14ac:dyDescent="0.2">
      <c r="E925" s="2">
        <f ca="1"/>
        <v>0.79640999908260257</v>
      </c>
      <c r="F925" s="2">
        <f t="shared" ca="1" si="42"/>
        <v>0.82886641453836707</v>
      </c>
      <c r="G925" s="72">
        <f t="shared" ca="1" si="43"/>
        <v>0.20721660363459177</v>
      </c>
      <c r="H925">
        <f t="shared" ca="1" si="44"/>
        <v>4748.7612146215097</v>
      </c>
    </row>
    <row r="926" spans="5:8" x14ac:dyDescent="0.2">
      <c r="E926" s="2">
        <f ca="1"/>
        <v>0.25445617838193457</v>
      </c>
      <c r="F926" s="2">
        <f t="shared" ca="1" si="42"/>
        <v>-0.66053220800661683</v>
      </c>
      <c r="G926" s="72">
        <f t="shared" ca="1" si="43"/>
        <v>-0.16513305200165421</v>
      </c>
      <c r="H926">
        <f t="shared" ca="1" si="44"/>
        <v>3272.4342648831639</v>
      </c>
    </row>
    <row r="927" spans="5:8" x14ac:dyDescent="0.2">
      <c r="E927" s="2">
        <f ca="1"/>
        <v>0.71383418520812603</v>
      </c>
      <c r="F927" s="2">
        <f t="shared" ca="1" si="42"/>
        <v>0.5646209248220927</v>
      </c>
      <c r="G927" s="72">
        <f t="shared" ca="1" si="43"/>
        <v>0.14115523120552317</v>
      </c>
      <c r="H927">
        <f t="shared" ca="1" si="44"/>
        <v>4445.189119732463</v>
      </c>
    </row>
    <row r="928" spans="5:8" x14ac:dyDescent="0.2">
      <c r="E928" s="2">
        <f ca="1"/>
        <v>0.91907981158789709</v>
      </c>
      <c r="F928" s="2">
        <f t="shared" ca="1" si="42"/>
        <v>1.398908655034149</v>
      </c>
      <c r="G928" s="72">
        <f t="shared" ca="1" si="43"/>
        <v>0.34972716375853724</v>
      </c>
      <c r="H928">
        <f t="shared" ca="1" si="44"/>
        <v>5476.1064534292045</v>
      </c>
    </row>
    <row r="929" spans="5:8" x14ac:dyDescent="0.2">
      <c r="E929" s="2">
        <f ca="1"/>
        <v>0.52420516211830592</v>
      </c>
      <c r="F929" s="2">
        <f t="shared" ca="1" si="42"/>
        <v>6.0710617468589502E-2</v>
      </c>
      <c r="G929" s="72">
        <f t="shared" ca="1" si="43"/>
        <v>1.5177654367147375E-2</v>
      </c>
      <c r="H929">
        <f t="shared" ca="1" si="44"/>
        <v>3919.0326008324287</v>
      </c>
    </row>
    <row r="930" spans="5:8" x14ac:dyDescent="0.2">
      <c r="E930" s="2">
        <f ca="1"/>
        <v>0.18071369562043738</v>
      </c>
      <c r="F930" s="2">
        <f t="shared" ca="1" si="42"/>
        <v>-0.91264858828459039</v>
      </c>
      <c r="G930" s="72">
        <f t="shared" ca="1" si="43"/>
        <v>-0.2281621470711476</v>
      </c>
      <c r="H930">
        <f t="shared" ca="1" si="44"/>
        <v>3072.5413989827171</v>
      </c>
    </row>
    <row r="931" spans="5:8" x14ac:dyDescent="0.2">
      <c r="E931" s="2">
        <f ca="1"/>
        <v>8.3673828141769047E-2</v>
      </c>
      <c r="F931" s="2">
        <f t="shared" ca="1" si="42"/>
        <v>-1.3807766135746973</v>
      </c>
      <c r="G931" s="72">
        <f t="shared" ca="1" si="43"/>
        <v>-0.34519415339367432</v>
      </c>
      <c r="H931">
        <f t="shared" ca="1" si="44"/>
        <v>2733.199852840632</v>
      </c>
    </row>
    <row r="932" spans="5:8" x14ac:dyDescent="0.2">
      <c r="E932" s="2">
        <f ca="1"/>
        <v>0.81594430113464211</v>
      </c>
      <c r="F932" s="2">
        <f t="shared" ca="1" si="42"/>
        <v>0.9000166357005529</v>
      </c>
      <c r="G932" s="72">
        <f t="shared" ca="1" si="43"/>
        <v>0.22500415892513823</v>
      </c>
      <c r="H932">
        <f t="shared" ca="1" si="44"/>
        <v>4833.9857886438049</v>
      </c>
    </row>
    <row r="933" spans="5:8" x14ac:dyDescent="0.2">
      <c r="E933" s="2">
        <f ca="1"/>
        <v>0.58350739118092587</v>
      </c>
      <c r="F933" s="2">
        <f t="shared" ca="1" si="42"/>
        <v>0.2108744809161858</v>
      </c>
      <c r="G933" s="72">
        <f t="shared" ca="1" si="43"/>
        <v>5.2718620229046449E-2</v>
      </c>
      <c r="H933">
        <f t="shared" ca="1" si="44"/>
        <v>4068.9533479057231</v>
      </c>
    </row>
    <row r="934" spans="5:8" x14ac:dyDescent="0.2">
      <c r="E934" s="2">
        <f ca="1"/>
        <v>0.80636387398876863</v>
      </c>
      <c r="F934" s="2">
        <f t="shared" ca="1" si="42"/>
        <v>0.86457472136784286</v>
      </c>
      <c r="G934" s="72">
        <f t="shared" ca="1" si="43"/>
        <v>0.21614368034196071</v>
      </c>
      <c r="H934">
        <f t="shared" ca="1" si="44"/>
        <v>4791.3435553691024</v>
      </c>
    </row>
    <row r="935" spans="5:8" x14ac:dyDescent="0.2">
      <c r="E935" s="2">
        <f ca="1"/>
        <v>0.16537759377337524</v>
      </c>
      <c r="F935" s="2">
        <f t="shared" ca="1" si="42"/>
        <v>-0.9725938759147551</v>
      </c>
      <c r="G935" s="72">
        <f t="shared" ca="1" si="43"/>
        <v>-0.24314846897868878</v>
      </c>
      <c r="H935">
        <f t="shared" ca="1" si="44"/>
        <v>3026.8386181579044</v>
      </c>
    </row>
    <row r="936" spans="5:8" x14ac:dyDescent="0.2">
      <c r="E936" s="2">
        <f ca="1"/>
        <v>0.24830895547034282</v>
      </c>
      <c r="F936" s="2">
        <f t="shared" ca="1" si="42"/>
        <v>-0.67982083754769385</v>
      </c>
      <c r="G936" s="72">
        <f t="shared" ca="1" si="43"/>
        <v>-0.16995520938692346</v>
      </c>
      <c r="H936">
        <f t="shared" ca="1" si="44"/>
        <v>3256.6920580291844</v>
      </c>
    </row>
    <row r="937" spans="5:8" x14ac:dyDescent="0.2">
      <c r="E937" s="2">
        <f ca="1"/>
        <v>0.6296292319194412</v>
      </c>
      <c r="F937" s="2">
        <f t="shared" ca="1" si="42"/>
        <v>0.33087151872458015</v>
      </c>
      <c r="G937" s="72">
        <f t="shared" ca="1" si="43"/>
        <v>8.2717879681145037E-2</v>
      </c>
      <c r="H937">
        <f t="shared" ca="1" si="44"/>
        <v>4192.8683207738086</v>
      </c>
    </row>
    <row r="938" spans="5:8" x14ac:dyDescent="0.2">
      <c r="E938" s="2">
        <f ca="1"/>
        <v>7.2174222023257961E-4</v>
      </c>
      <c r="F938" s="2">
        <f t="shared" ca="1" si="42"/>
        <v>-3.1858118418252901</v>
      </c>
      <c r="G938" s="72">
        <f t="shared" ca="1" si="43"/>
        <v>-0.79645296045632252</v>
      </c>
      <c r="H938">
        <f t="shared" ca="1" si="44"/>
        <v>1740.5727452843955</v>
      </c>
    </row>
    <row r="939" spans="5:8" x14ac:dyDescent="0.2">
      <c r="E939" s="2">
        <f ca="1"/>
        <v>0.18540129233247038</v>
      </c>
      <c r="F939" s="2">
        <f t="shared" ca="1" si="42"/>
        <v>-0.89497101097779719</v>
      </c>
      <c r="G939" s="72">
        <f t="shared" ca="1" si="43"/>
        <v>-0.2237427527444493</v>
      </c>
      <c r="H939">
        <f t="shared" ca="1" si="44"/>
        <v>3086.1502202341067</v>
      </c>
    </row>
    <row r="940" spans="5:8" x14ac:dyDescent="0.2">
      <c r="E940" s="2">
        <f ca="1"/>
        <v>2.9951993956109479E-2</v>
      </c>
      <c r="F940" s="2">
        <f t="shared" ca="1" si="42"/>
        <v>-1.8814996127016563</v>
      </c>
      <c r="G940" s="72">
        <f t="shared" ca="1" si="43"/>
        <v>-0.47037490317541408</v>
      </c>
      <c r="H940">
        <f t="shared" ca="1" si="44"/>
        <v>2411.6044678987987</v>
      </c>
    </row>
    <row r="941" spans="5:8" x14ac:dyDescent="0.2">
      <c r="E941" s="2">
        <f ca="1"/>
        <v>0.50187250325660404</v>
      </c>
      <c r="F941" s="2">
        <f t="shared" ca="1" si="42"/>
        <v>4.6936868414834826E-3</v>
      </c>
      <c r="G941" s="72">
        <f t="shared" ca="1" si="43"/>
        <v>1.1734217103708706E-3</v>
      </c>
      <c r="H941">
        <f t="shared" ca="1" si="44"/>
        <v>3864.5320662944996</v>
      </c>
    </row>
    <row r="942" spans="5:8" x14ac:dyDescent="0.2">
      <c r="E942" s="2">
        <f ca="1"/>
        <v>0.68827020973562947</v>
      </c>
      <c r="F942" s="2">
        <f t="shared" ca="1" si="42"/>
        <v>0.4909531547586099</v>
      </c>
      <c r="G942" s="72">
        <f t="shared" ca="1" si="43"/>
        <v>0.12273828868965247</v>
      </c>
      <c r="H942">
        <f t="shared" ca="1" si="44"/>
        <v>4364.0715884966312</v>
      </c>
    </row>
    <row r="943" spans="5:8" x14ac:dyDescent="0.2">
      <c r="E943" s="2">
        <f ca="1"/>
        <v>0.55238758165463153</v>
      </c>
      <c r="F943" s="2">
        <f t="shared" ca="1" si="42"/>
        <v>0.13169588976903696</v>
      </c>
      <c r="G943" s="72">
        <f t="shared" ca="1" si="43"/>
        <v>3.2923972442259239E-2</v>
      </c>
      <c r="H943">
        <f t="shared" ca="1" si="44"/>
        <v>3989.2017806732556</v>
      </c>
    </row>
    <row r="944" spans="5:8" x14ac:dyDescent="0.2">
      <c r="E944" s="2">
        <f ca="1"/>
        <v>0.19410759919605969</v>
      </c>
      <c r="F944" s="2">
        <f t="shared" ca="1" si="42"/>
        <v>-0.86285863082755454</v>
      </c>
      <c r="G944" s="72">
        <f t="shared" ca="1" si="43"/>
        <v>-0.21571465770688864</v>
      </c>
      <c r="H944">
        <f t="shared" ca="1" si="44"/>
        <v>3111.0258458422472</v>
      </c>
    </row>
    <row r="945" spans="5:8" x14ac:dyDescent="0.2">
      <c r="E945" s="2">
        <f ca="1"/>
        <v>0.36114239889547051</v>
      </c>
      <c r="F945" s="2">
        <f t="shared" ca="1" si="42"/>
        <v>-0.35540687678774407</v>
      </c>
      <c r="G945" s="72">
        <f t="shared" ca="1" si="43"/>
        <v>-8.8851719196936019E-2</v>
      </c>
      <c r="H945">
        <f t="shared" ca="1" si="44"/>
        <v>3531.8275774012704</v>
      </c>
    </row>
    <row r="946" spans="5:8" x14ac:dyDescent="0.2">
      <c r="E946" s="2">
        <f ca="1"/>
        <v>0.95589520519490256</v>
      </c>
      <c r="F946" s="2">
        <f t="shared" ca="1" si="42"/>
        <v>1.7049186925946698</v>
      </c>
      <c r="G946" s="72">
        <f t="shared" ca="1" si="43"/>
        <v>0.42622967314866744</v>
      </c>
      <c r="H946">
        <f t="shared" ca="1" si="44"/>
        <v>5911.4837451966669</v>
      </c>
    </row>
    <row r="947" spans="5:8" x14ac:dyDescent="0.2">
      <c r="E947" s="2">
        <f ca="1"/>
        <v>0.58030273931858067</v>
      </c>
      <c r="F947" s="2">
        <f t="shared" ca="1" si="42"/>
        <v>0.20266801922214603</v>
      </c>
      <c r="G947" s="72">
        <f t="shared" ca="1" si="43"/>
        <v>5.0667004805536507E-2</v>
      </c>
      <c r="H947">
        <f t="shared" ca="1" si="44"/>
        <v>4060.6139779747255</v>
      </c>
    </row>
    <row r="948" spans="5:8" x14ac:dyDescent="0.2">
      <c r="E948" s="2">
        <f ca="1"/>
        <v>6.9553190771494355E-2</v>
      </c>
      <c r="F948" s="2">
        <f t="shared" ca="1" si="42"/>
        <v>-1.479126976453716</v>
      </c>
      <c r="G948" s="72">
        <f t="shared" ca="1" si="43"/>
        <v>-0.36978174411342901</v>
      </c>
      <c r="H948">
        <f t="shared" ca="1" si="44"/>
        <v>2666.816501146845</v>
      </c>
    </row>
    <row r="949" spans="5:8" x14ac:dyDescent="0.2">
      <c r="E949" s="2">
        <f ca="1"/>
        <v>0.16424585621379628</v>
      </c>
      <c r="F949" s="2">
        <f t="shared" ca="1" si="42"/>
        <v>-0.97715643411593622</v>
      </c>
      <c r="G949" s="72">
        <f t="shared" ca="1" si="43"/>
        <v>-0.24428910852898406</v>
      </c>
      <c r="H949">
        <f t="shared" ca="1" si="44"/>
        <v>3023.388054616411</v>
      </c>
    </row>
    <row r="950" spans="5:8" x14ac:dyDescent="0.2">
      <c r="E950" s="2">
        <f ca="1"/>
        <v>9.2320567769161643E-2</v>
      </c>
      <c r="F950" s="2">
        <f t="shared" ca="1" si="42"/>
        <v>-1.3265996988359252</v>
      </c>
      <c r="G950" s="72">
        <f t="shared" ca="1" si="43"/>
        <v>-0.3316499247089813</v>
      </c>
      <c r="H950">
        <f t="shared" ca="1" si="44"/>
        <v>2770.4707698346183</v>
      </c>
    </row>
    <row r="951" spans="5:8" x14ac:dyDescent="0.2">
      <c r="E951" s="2">
        <f ca="1"/>
        <v>0.24509752968985543</v>
      </c>
      <c r="F951" s="2">
        <f t="shared" ca="1" si="42"/>
        <v>-0.68999861332239398</v>
      </c>
      <c r="G951" s="72">
        <f t="shared" ca="1" si="43"/>
        <v>-0.1724996533305985</v>
      </c>
      <c r="H951">
        <f t="shared" ca="1" si="44"/>
        <v>3248.4161209397221</v>
      </c>
    </row>
    <row r="952" spans="5:8" x14ac:dyDescent="0.2">
      <c r="E952" s="2">
        <f ca="1"/>
        <v>0.85711045513273243</v>
      </c>
      <c r="F952" s="2">
        <f t="shared" ca="1" si="42"/>
        <v>1.0674269376475269</v>
      </c>
      <c r="G952" s="72">
        <f t="shared" ca="1" si="43"/>
        <v>0.26685673441188174</v>
      </c>
      <c r="H952">
        <f t="shared" ca="1" si="44"/>
        <v>5040.5939274512066</v>
      </c>
    </row>
    <row r="953" spans="5:8" x14ac:dyDescent="0.2">
      <c r="E953" s="2">
        <f ca="1"/>
        <v>0.83933453533012292</v>
      </c>
      <c r="F953" s="2">
        <f t="shared" ca="1" si="42"/>
        <v>0.9917265635372966</v>
      </c>
      <c r="G953" s="72">
        <f t="shared" ca="1" si="43"/>
        <v>0.24793164088432415</v>
      </c>
      <c r="H953">
        <f t="shared" ca="1" si="44"/>
        <v>4946.0972158804552</v>
      </c>
    </row>
    <row r="954" spans="5:8" x14ac:dyDescent="0.2">
      <c r="E954" s="2">
        <f ca="1"/>
        <v>0.77325162439685857</v>
      </c>
      <c r="F954" s="2">
        <f t="shared" ca="1" si="42"/>
        <v>0.7495981735209617</v>
      </c>
      <c r="G954" s="72">
        <f t="shared" ca="1" si="43"/>
        <v>0.18739954338024042</v>
      </c>
      <c r="H954">
        <f t="shared" ca="1" si="44"/>
        <v>4655.5810553373894</v>
      </c>
    </row>
    <row r="955" spans="5:8" x14ac:dyDescent="0.2">
      <c r="E955" s="2">
        <f ca="1"/>
        <v>0.81577785461222363</v>
      </c>
      <c r="F955" s="2">
        <f t="shared" ca="1" si="42"/>
        <v>0.89939126399230651</v>
      </c>
      <c r="G955" s="72">
        <f t="shared" ca="1" si="43"/>
        <v>0.22484781599807663</v>
      </c>
      <c r="H955">
        <f t="shared" ca="1" si="44"/>
        <v>4833.2300882319805</v>
      </c>
    </row>
    <row r="956" spans="5:8" x14ac:dyDescent="0.2">
      <c r="E956" s="2">
        <f ca="1"/>
        <v>0.7189523805794209</v>
      </c>
      <c r="F956" s="2">
        <f t="shared" ca="1" si="42"/>
        <v>0.57973218006968474</v>
      </c>
      <c r="G956" s="72">
        <f t="shared" ca="1" si="43"/>
        <v>0.14493304501742119</v>
      </c>
      <c r="H956">
        <f t="shared" ca="1" si="44"/>
        <v>4462.0139771646955</v>
      </c>
    </row>
    <row r="957" spans="5:8" x14ac:dyDescent="0.2">
      <c r="E957" s="2">
        <f ca="1"/>
        <v>0.53653692516747498</v>
      </c>
      <c r="F957" s="2">
        <f t="shared" ca="1" si="42"/>
        <v>9.1712897744084643E-2</v>
      </c>
      <c r="G957" s="72">
        <f t="shared" ca="1" si="43"/>
        <v>2.2928224436021161E-2</v>
      </c>
      <c r="H957">
        <f t="shared" ca="1" si="44"/>
        <v>3949.5253530689033</v>
      </c>
    </row>
    <row r="958" spans="5:8" x14ac:dyDescent="0.2">
      <c r="E958" s="2">
        <f ca="1"/>
        <v>0.27555832296123395</v>
      </c>
      <c r="F958" s="2">
        <f t="shared" ca="1" si="42"/>
        <v>-0.59608769215280688</v>
      </c>
      <c r="G958" s="72">
        <f t="shared" ca="1" si="43"/>
        <v>-0.14902192303820172</v>
      </c>
      <c r="H958">
        <f t="shared" ca="1" si="44"/>
        <v>3325.5838758084501</v>
      </c>
    </row>
    <row r="959" spans="5:8" x14ac:dyDescent="0.2">
      <c r="E959" s="2">
        <f ca="1"/>
        <v>0.1103916118994881</v>
      </c>
      <c r="F959" s="2">
        <f t="shared" ca="1" si="42"/>
        <v>-1.2244481259918274</v>
      </c>
      <c r="G959" s="72">
        <f t="shared" ca="1" si="43"/>
        <v>-0.30611203149795685</v>
      </c>
      <c r="H959">
        <f t="shared" ca="1" si="44"/>
        <v>2842.133924743006</v>
      </c>
    </row>
    <row r="960" spans="5:8" x14ac:dyDescent="0.2">
      <c r="E960" s="2">
        <f ca="1"/>
        <v>4.4291901806614575E-2</v>
      </c>
      <c r="F960" s="2">
        <f t="shared" ca="1" si="42"/>
        <v>-1.7029159236679523</v>
      </c>
      <c r="G960" s="72">
        <f t="shared" ca="1" si="43"/>
        <v>-0.42572898091698808</v>
      </c>
      <c r="H960">
        <f t="shared" ca="1" si="44"/>
        <v>2521.7124201703259</v>
      </c>
    </row>
    <row r="961" spans="5:8" x14ac:dyDescent="0.2">
      <c r="E961" s="2">
        <f ca="1"/>
        <v>0.65973926304195807</v>
      </c>
      <c r="F961" s="2">
        <f t="shared" ca="1" si="42"/>
        <v>0.41175163552038813</v>
      </c>
      <c r="G961" s="72">
        <f t="shared" ca="1" si="43"/>
        <v>0.10293790888009703</v>
      </c>
      <c r="H961">
        <f t="shared" ca="1" si="44"/>
        <v>4278.5111732354662</v>
      </c>
    </row>
    <row r="962" spans="5:8" x14ac:dyDescent="0.2">
      <c r="E962" s="2">
        <f ca="1"/>
        <v>0.83500358034547739</v>
      </c>
      <c r="F962" s="2">
        <f t="shared" ca="1" si="42"/>
        <v>0.97412830048658594</v>
      </c>
      <c r="G962" s="72">
        <f t="shared" ca="1" si="43"/>
        <v>0.24353207512164649</v>
      </c>
      <c r="H962">
        <f t="shared" ca="1" si="44"/>
        <v>4924.3843345584191</v>
      </c>
    </row>
    <row r="963" spans="5:8" x14ac:dyDescent="0.2">
      <c r="E963" s="2">
        <f ca="1"/>
        <v>0.9321757149562182</v>
      </c>
      <c r="F963" s="2">
        <f t="shared" ca="1" si="42"/>
        <v>1.4921929497182664</v>
      </c>
      <c r="G963" s="72">
        <f t="shared" ca="1" si="43"/>
        <v>0.37304823742956661</v>
      </c>
      <c r="H963">
        <f t="shared" ca="1" si="44"/>
        <v>5605.3159312656871</v>
      </c>
    </row>
    <row r="964" spans="5:8" x14ac:dyDescent="0.2">
      <c r="E964" s="2">
        <f ca="1"/>
        <v>0.2301364153082428</v>
      </c>
      <c r="F964" s="2">
        <f t="shared" ca="1" si="42"/>
        <v>-0.73839766908225091</v>
      </c>
      <c r="G964" s="72">
        <f t="shared" ca="1" si="43"/>
        <v>-0.18459941727056273</v>
      </c>
      <c r="H964">
        <f t="shared" ca="1" si="44"/>
        <v>3209.3478875436417</v>
      </c>
    </row>
    <row r="965" spans="5:8" x14ac:dyDescent="0.2">
      <c r="E965" s="2">
        <f ca="1"/>
        <v>0.10667011046609098</v>
      </c>
      <c r="F965" s="2">
        <f t="shared" ca="1" si="42"/>
        <v>-1.2444330622802866</v>
      </c>
      <c r="G965" s="72">
        <f t="shared" ca="1" si="43"/>
        <v>-0.31110826557007165</v>
      </c>
      <c r="H965">
        <f t="shared" ca="1" si="44"/>
        <v>2827.9693725648317</v>
      </c>
    </row>
    <row r="966" spans="5:8" x14ac:dyDescent="0.2">
      <c r="E966" s="2">
        <f ca="1"/>
        <v>0.16801919612229232</v>
      </c>
      <c r="F966" s="2">
        <f t="shared" ca="1" si="42"/>
        <v>-0.96202231995571996</v>
      </c>
      <c r="G966" s="72">
        <f t="shared" ca="1" si="43"/>
        <v>-0.24050557998892999</v>
      </c>
      <c r="H966">
        <f t="shared" ca="1" si="44"/>
        <v>3034.8487969597923</v>
      </c>
    </row>
    <row r="967" spans="5:8" x14ac:dyDescent="0.2">
      <c r="E967" s="2">
        <f ca="1"/>
        <v>0.95672690010398753</v>
      </c>
      <c r="F967" s="2">
        <f t="shared" ca="1" si="42"/>
        <v>1.7139048630365834</v>
      </c>
      <c r="G967" s="72">
        <f t="shared" ca="1" si="43"/>
        <v>0.42847621575914585</v>
      </c>
      <c r="H967">
        <f t="shared" ca="1" si="44"/>
        <v>5924.7790739909879</v>
      </c>
    </row>
    <row r="968" spans="5:8" x14ac:dyDescent="0.2">
      <c r="E968" s="2">
        <f ca="1"/>
        <v>0.83990972021557297</v>
      </c>
      <c r="F968" s="2">
        <f t="shared" ca="1" si="42"/>
        <v>0.99408690590235893</v>
      </c>
      <c r="G968" s="72">
        <f t="shared" ca="1" si="43"/>
        <v>0.24852172647558973</v>
      </c>
      <c r="H968">
        <f t="shared" ca="1" si="44"/>
        <v>4949.016697867959</v>
      </c>
    </row>
    <row r="969" spans="5:8" x14ac:dyDescent="0.2">
      <c r="E969" s="2">
        <f ca="1"/>
        <v>0.79320557999350338</v>
      </c>
      <c r="F969" s="2">
        <f t="shared" ca="1" si="42"/>
        <v>0.81759437588481931</v>
      </c>
      <c r="G969" s="72">
        <f t="shared" ca="1" si="43"/>
        <v>0.20439859397120483</v>
      </c>
      <c r="H969">
        <f t="shared" ca="1" si="44"/>
        <v>4735.3979973106534</v>
      </c>
    </row>
    <row r="970" spans="5:8" x14ac:dyDescent="0.2">
      <c r="E970" s="2">
        <f ca="1"/>
        <v>0.27700281283204586</v>
      </c>
      <c r="F970" s="2">
        <f t="shared" ca="1" si="42"/>
        <v>-0.59176849062414483</v>
      </c>
      <c r="G970" s="72">
        <f t="shared" ca="1" si="43"/>
        <v>-0.14794212265603621</v>
      </c>
      <c r="H970">
        <f t="shared" ca="1" si="44"/>
        <v>3329.1767820101154</v>
      </c>
    </row>
    <row r="971" spans="5:8" x14ac:dyDescent="0.2">
      <c r="E971" s="2">
        <f ca="1"/>
        <v>0.82029298946195639</v>
      </c>
      <c r="F971" s="2">
        <f t="shared" ca="1" si="42"/>
        <v>0.91648223469496137</v>
      </c>
      <c r="G971" s="72">
        <f t="shared" ca="1" si="43"/>
        <v>0.22912055867374034</v>
      </c>
      <c r="H971">
        <f t="shared" ca="1" si="44"/>
        <v>4853.9254181158076</v>
      </c>
    </row>
    <row r="972" spans="5:8" x14ac:dyDescent="0.2">
      <c r="E972" s="2">
        <f ca="1"/>
        <v>0.32041302547699768</v>
      </c>
      <c r="F972" s="2">
        <f t="shared" ca="1" si="42"/>
        <v>-0.46654415310343711</v>
      </c>
      <c r="G972" s="72">
        <f t="shared" ca="1" si="43"/>
        <v>-0.11663603827585928</v>
      </c>
      <c r="H972">
        <f t="shared" ca="1" si="44"/>
        <v>3435.0488444210309</v>
      </c>
    </row>
    <row r="973" spans="5:8" x14ac:dyDescent="0.2">
      <c r="E973" s="2">
        <f ca="1"/>
        <v>0.35315585935953453</v>
      </c>
      <c r="F973" s="2">
        <f t="shared" ca="1" si="42"/>
        <v>-0.37681415762813369</v>
      </c>
      <c r="G973" s="72">
        <f t="shared" ca="1" si="43"/>
        <v>-9.4203539407033424E-2</v>
      </c>
      <c r="H973">
        <f t="shared" ca="1" si="44"/>
        <v>3512.9763603508131</v>
      </c>
    </row>
    <row r="974" spans="5:8" x14ac:dyDescent="0.2">
      <c r="E974" s="2">
        <f ca="1"/>
        <v>0.90055667010376217</v>
      </c>
      <c r="F974" s="2">
        <f t="shared" ca="1" si="42"/>
        <v>1.2847299749714027</v>
      </c>
      <c r="G974" s="72">
        <f t="shared" ca="1" si="43"/>
        <v>0.32118249374285068</v>
      </c>
      <c r="H974">
        <f t="shared" ca="1" si="44"/>
        <v>5322.0026858229794</v>
      </c>
    </row>
    <row r="975" spans="5:8" x14ac:dyDescent="0.2">
      <c r="E975" s="2">
        <f ca="1"/>
        <v>0.72189800815540139</v>
      </c>
      <c r="F975" s="2">
        <f t="shared" ca="1" si="42"/>
        <v>0.58848919582192272</v>
      </c>
      <c r="G975" s="72">
        <f t="shared" ca="1" si="43"/>
        <v>0.14712229895548068</v>
      </c>
      <c r="H975">
        <f t="shared" ca="1" si="44"/>
        <v>4471.7931594867532</v>
      </c>
    </row>
    <row r="976" spans="5:8" x14ac:dyDescent="0.2">
      <c r="E976" s="2">
        <f ca="1"/>
        <v>8.3908630226077197E-3</v>
      </c>
      <c r="F976" s="2">
        <f t="shared" ca="1" si="42"/>
        <v>-2.3914553281018356</v>
      </c>
      <c r="G976" s="72">
        <f t="shared" ca="1" si="43"/>
        <v>-0.5978638320254589</v>
      </c>
      <c r="H976">
        <f t="shared" ca="1" si="44"/>
        <v>2122.9430379783184</v>
      </c>
    </row>
    <row r="977" spans="5:8" x14ac:dyDescent="0.2">
      <c r="E977" s="2">
        <f ca="1"/>
        <v>0.39120842751272966</v>
      </c>
      <c r="F977" s="2">
        <f t="shared" ca="1" si="42"/>
        <v>-0.27617083722971869</v>
      </c>
      <c r="G977" s="72">
        <f t="shared" ca="1" si="43"/>
        <v>-6.9042709307429673E-2</v>
      </c>
      <c r="H977">
        <f t="shared" ca="1" si="44"/>
        <v>3602.4871220861833</v>
      </c>
    </row>
    <row r="978" spans="5:8" x14ac:dyDescent="0.2">
      <c r="E978" s="2">
        <f ca="1"/>
        <v>0.35365081085850059</v>
      </c>
      <c r="F978" s="2">
        <f t="shared" ca="1" si="42"/>
        <v>-0.37548255009276094</v>
      </c>
      <c r="G978" s="72">
        <f t="shared" ca="1" si="43"/>
        <v>-9.3870637523190234E-2</v>
      </c>
      <c r="H978">
        <f t="shared" ca="1" si="44"/>
        <v>3514.1460314811293</v>
      </c>
    </row>
    <row r="979" spans="5:8" x14ac:dyDescent="0.2">
      <c r="E979" s="2">
        <f ca="1"/>
        <v>0.27270509289772615</v>
      </c>
      <c r="F979" s="2">
        <f t="shared" ref="F979:F1017" ca="1" si="45">_xlfn.NORM.S.INV(E979)</f>
        <v>-0.60465209320785207</v>
      </c>
      <c r="G979" s="72">
        <f t="shared" ref="G979:G1017" ca="1" si="46">$G$12+$G$13*F979</f>
        <v>-0.15116302330196302</v>
      </c>
      <c r="H979">
        <f t="shared" ref="H979:H1017" ca="1" si="47">$G$11*EXP(G979)</f>
        <v>3318.47108461162</v>
      </c>
    </row>
    <row r="980" spans="5:8" x14ac:dyDescent="0.2">
      <c r="E980" s="2">
        <f ca="1"/>
        <v>0.5068134987860915</v>
      </c>
      <c r="F980" s="2">
        <f t="shared" ca="1" si="45"/>
        <v>1.7079739079806047E-2</v>
      </c>
      <c r="G980" s="72">
        <f t="shared" ca="1" si="46"/>
        <v>4.2699347699515118E-3</v>
      </c>
      <c r="H980">
        <f t="shared" ca="1" si="47"/>
        <v>3876.5171867714844</v>
      </c>
    </row>
    <row r="981" spans="5:8" x14ac:dyDescent="0.2">
      <c r="E981" s="2">
        <f ca="1"/>
        <v>0.55034101414072256</v>
      </c>
      <c r="F981" s="2">
        <f t="shared" ca="1" si="45"/>
        <v>0.1265229649475817</v>
      </c>
      <c r="G981" s="72">
        <f t="shared" ca="1" si="46"/>
        <v>3.1630741236895424E-2</v>
      </c>
      <c r="H981">
        <f t="shared" ca="1" si="47"/>
        <v>3984.0461548726234</v>
      </c>
    </row>
    <row r="982" spans="5:8" x14ac:dyDescent="0.2">
      <c r="E982" s="2">
        <f ca="1"/>
        <v>0.17754628149057239</v>
      </c>
      <c r="F982" s="2">
        <f t="shared" ca="1" si="45"/>
        <v>-0.92475653764398391</v>
      </c>
      <c r="G982" s="72">
        <f t="shared" ca="1" si="46"/>
        <v>-0.23118913441099598</v>
      </c>
      <c r="H982">
        <f t="shared" ca="1" si="47"/>
        <v>3063.2549171889796</v>
      </c>
    </row>
    <row r="983" spans="5:8" x14ac:dyDescent="0.2">
      <c r="E983" s="2">
        <f ca="1"/>
        <v>0.65311111150587808</v>
      </c>
      <c r="F983" s="2">
        <f t="shared" ca="1" si="45"/>
        <v>0.39373353883477213</v>
      </c>
      <c r="G983" s="72">
        <f t="shared" ca="1" si="46"/>
        <v>9.8433384708693034E-2</v>
      </c>
      <c r="H983">
        <f t="shared" ca="1" si="47"/>
        <v>4259.2818582099089</v>
      </c>
    </row>
    <row r="984" spans="5:8" x14ac:dyDescent="0.2">
      <c r="E984" s="2">
        <f ca="1"/>
        <v>0.36265755881722894</v>
      </c>
      <c r="F984" s="2">
        <f t="shared" ca="1" si="45"/>
        <v>-0.351364225260689</v>
      </c>
      <c r="G984" s="72">
        <f t="shared" ca="1" si="46"/>
        <v>-8.784105631517225E-2</v>
      </c>
      <c r="H984">
        <f t="shared" ca="1" si="47"/>
        <v>3535.3988688203904</v>
      </c>
    </row>
    <row r="985" spans="5:8" x14ac:dyDescent="0.2">
      <c r="E985" s="2">
        <f ca="1"/>
        <v>0.63922260528611674</v>
      </c>
      <c r="F985" s="2">
        <f t="shared" ca="1" si="45"/>
        <v>0.35638162357935343</v>
      </c>
      <c r="G985" s="72">
        <f t="shared" ca="1" si="46"/>
        <v>8.9095405894838359E-2</v>
      </c>
      <c r="H985">
        <f t="shared" ca="1" si="47"/>
        <v>4219.6938978880889</v>
      </c>
    </row>
    <row r="986" spans="5:8" x14ac:dyDescent="0.2">
      <c r="E986" s="2">
        <f ca="1"/>
        <v>0.55173576235209465</v>
      </c>
      <c r="F986" s="2">
        <f t="shared" ca="1" si="45"/>
        <v>0.1300479687968944</v>
      </c>
      <c r="G986" s="72">
        <f t="shared" ca="1" si="46"/>
        <v>3.2511992199223599E-2</v>
      </c>
      <c r="H986">
        <f t="shared" ca="1" si="47"/>
        <v>3987.5586468467131</v>
      </c>
    </row>
    <row r="987" spans="5:8" x14ac:dyDescent="0.2">
      <c r="E987" s="2">
        <f ca="1"/>
        <v>0.20910492012463</v>
      </c>
      <c r="F987" s="2">
        <f t="shared" ca="1" si="45"/>
        <v>-0.80953089341096807</v>
      </c>
      <c r="G987" s="72">
        <f t="shared" ca="1" si="46"/>
        <v>-0.20238272335274202</v>
      </c>
      <c r="H987">
        <f t="shared" ca="1" si="47"/>
        <v>3152.7795485631859</v>
      </c>
    </row>
    <row r="988" spans="5:8" x14ac:dyDescent="0.2">
      <c r="E988" s="2">
        <f ca="1"/>
        <v>0.53387865421111003</v>
      </c>
      <c r="F988" s="2">
        <f t="shared" ca="1" si="45"/>
        <v>8.5023520726460231E-2</v>
      </c>
      <c r="G988" s="72">
        <f t="shared" ca="1" si="46"/>
        <v>2.1255880181615058E-2</v>
      </c>
      <c r="H988">
        <f t="shared" ca="1" si="47"/>
        <v>3942.9259068481274</v>
      </c>
    </row>
    <row r="989" spans="5:8" x14ac:dyDescent="0.2">
      <c r="E989" s="2">
        <f ca="1"/>
        <v>0.18102254758829095</v>
      </c>
      <c r="F989" s="2">
        <f t="shared" ca="1" si="45"/>
        <v>-0.91147510820019106</v>
      </c>
      <c r="G989" s="72">
        <f t="shared" ca="1" si="46"/>
        <v>-0.22786877705004777</v>
      </c>
      <c r="H989">
        <f t="shared" ca="1" si="47"/>
        <v>3073.4429227513242</v>
      </c>
    </row>
    <row r="990" spans="5:8" x14ac:dyDescent="0.2">
      <c r="E990" s="2">
        <f ca="1"/>
        <v>0.22951878265131653</v>
      </c>
      <c r="F990" s="2">
        <f t="shared" ca="1" si="45"/>
        <v>-0.74043256478214914</v>
      </c>
      <c r="G990" s="72">
        <f t="shared" ca="1" si="46"/>
        <v>-0.18510814119553728</v>
      </c>
      <c r="H990">
        <f t="shared" ca="1" si="47"/>
        <v>3207.7156307089363</v>
      </c>
    </row>
    <row r="991" spans="5:8" x14ac:dyDescent="0.2">
      <c r="E991" s="2">
        <f ca="1"/>
        <v>0.89276568028244907</v>
      </c>
      <c r="F991" s="2">
        <f t="shared" ca="1" si="45"/>
        <v>1.2413712373692787</v>
      </c>
      <c r="G991" s="72">
        <f t="shared" ca="1" si="46"/>
        <v>0.31034280934231967</v>
      </c>
      <c r="H991">
        <f t="shared" ca="1" si="47"/>
        <v>5264.6253940096631</v>
      </c>
    </row>
    <row r="992" spans="5:8" x14ac:dyDescent="0.2">
      <c r="E992" s="2">
        <f ca="1"/>
        <v>0.28109548874939327</v>
      </c>
      <c r="F992" s="2">
        <f t="shared" ca="1" si="45"/>
        <v>-0.57959023827531497</v>
      </c>
      <c r="G992" s="72">
        <f t="shared" ca="1" si="46"/>
        <v>-0.14489755956882874</v>
      </c>
      <c r="H992">
        <f t="shared" ca="1" si="47"/>
        <v>3339.3281160985703</v>
      </c>
    </row>
    <row r="993" spans="5:8" x14ac:dyDescent="0.2">
      <c r="E993" s="2">
        <f ca="1"/>
        <v>0.78920239617439525</v>
      </c>
      <c r="F993" s="2">
        <f t="shared" ca="1" si="45"/>
        <v>0.80365680366040115</v>
      </c>
      <c r="G993" s="72">
        <f t="shared" ca="1" si="46"/>
        <v>0.20091420091510029</v>
      </c>
      <c r="H993">
        <f t="shared" ca="1" si="47"/>
        <v>4718.9267222739163</v>
      </c>
    </row>
    <row r="994" spans="5:8" x14ac:dyDescent="0.2">
      <c r="E994" s="2">
        <f ca="1"/>
        <v>0.59962404354442911</v>
      </c>
      <c r="F994" s="2">
        <f t="shared" ca="1" si="45"/>
        <v>0.25237410599870613</v>
      </c>
      <c r="G994" s="72">
        <f t="shared" ca="1" si="46"/>
        <v>6.3093526499676533E-2</v>
      </c>
      <c r="H994">
        <f t="shared" ca="1" si="47"/>
        <v>4111.3881051901108</v>
      </c>
    </row>
    <row r="995" spans="5:8" x14ac:dyDescent="0.2">
      <c r="E995" s="2">
        <f ca="1"/>
        <v>0.3447531208732395</v>
      </c>
      <c r="F995" s="2">
        <f t="shared" ca="1" si="45"/>
        <v>-0.39952522383051137</v>
      </c>
      <c r="G995" s="72">
        <f t="shared" ca="1" si="46"/>
        <v>-9.9881305957627842E-2</v>
      </c>
      <c r="H995">
        <f t="shared" ca="1" si="47"/>
        <v>3493.0870176324715</v>
      </c>
    </row>
    <row r="996" spans="5:8" x14ac:dyDescent="0.2">
      <c r="E996" s="2">
        <f ca="1"/>
        <v>0.3681735670998445</v>
      </c>
      <c r="F996" s="2">
        <f t="shared" ca="1" si="45"/>
        <v>-0.33669460042213467</v>
      </c>
      <c r="G996" s="72">
        <f t="shared" ca="1" si="46"/>
        <v>-8.4173650105533668E-2</v>
      </c>
      <c r="H996">
        <f t="shared" ca="1" si="47"/>
        <v>3548.3884170013084</v>
      </c>
    </row>
    <row r="997" spans="5:8" x14ac:dyDescent="0.2">
      <c r="E997" s="2">
        <f ca="1"/>
        <v>0.73262101525825729</v>
      </c>
      <c r="F997" s="2">
        <f t="shared" ca="1" si="45"/>
        <v>0.62075935529738746</v>
      </c>
      <c r="G997" s="72">
        <f t="shared" ca="1" si="46"/>
        <v>0.15518983882434687</v>
      </c>
      <c r="H997">
        <f t="shared" ca="1" si="47"/>
        <v>4508.0154449914507</v>
      </c>
    </row>
    <row r="998" spans="5:8" x14ac:dyDescent="0.2">
      <c r="E998" s="2">
        <f ca="1"/>
        <v>0.55600160210209215</v>
      </c>
      <c r="F998" s="2">
        <f t="shared" ca="1" si="45"/>
        <v>0.14083942629746385</v>
      </c>
      <c r="G998" s="72">
        <f t="shared" ca="1" si="46"/>
        <v>3.5209856574365962E-2</v>
      </c>
      <c r="H998">
        <f t="shared" ca="1" si="47"/>
        <v>3998.3310639901606</v>
      </c>
    </row>
    <row r="999" spans="5:8" x14ac:dyDescent="0.2">
      <c r="E999" s="2">
        <f ca="1"/>
        <v>0.66436338517018934</v>
      </c>
      <c r="F999" s="2">
        <f t="shared" ca="1" si="45"/>
        <v>0.42440122203448921</v>
      </c>
      <c r="G999" s="72">
        <f t="shared" ca="1" si="46"/>
        <v>0.1061003055086223</v>
      </c>
      <c r="H999">
        <f t="shared" ca="1" si="47"/>
        <v>4292.0629392804531</v>
      </c>
    </row>
    <row r="1000" spans="5:8" x14ac:dyDescent="0.2">
      <c r="E1000" s="2">
        <f ca="1"/>
        <v>5.8792038157044813E-2</v>
      </c>
      <c r="F1000" s="2">
        <f t="shared" ca="1" si="45"/>
        <v>-1.5649950229384151</v>
      </c>
      <c r="G1000" s="72">
        <f t="shared" ca="1" si="46"/>
        <v>-0.39124875573460377</v>
      </c>
      <c r="H1000">
        <f t="shared" ca="1" si="47"/>
        <v>2610.17802479481</v>
      </c>
    </row>
    <row r="1001" spans="5:8" x14ac:dyDescent="0.2">
      <c r="E1001" s="2">
        <f ca="1"/>
        <v>0.3487227855058499</v>
      </c>
      <c r="F1001" s="2">
        <f t="shared" ca="1" si="45"/>
        <v>-0.38877097859724752</v>
      </c>
      <c r="G1001" s="72">
        <f t="shared" ca="1" si="46"/>
        <v>-9.719274464931188E-2</v>
      </c>
      <c r="H1001">
        <f t="shared" ca="1" si="47"/>
        <v>3502.4910322048859</v>
      </c>
    </row>
    <row r="1002" spans="5:8" x14ac:dyDescent="0.2">
      <c r="E1002" s="2">
        <f ca="1"/>
        <v>0.42118064023712543</v>
      </c>
      <c r="F1002" s="2">
        <f t="shared" ca="1" si="45"/>
        <v>-0.1988740355053219</v>
      </c>
      <c r="G1002" s="72">
        <f t="shared" ca="1" si="46"/>
        <v>-4.9718508876330475E-2</v>
      </c>
      <c r="H1002">
        <f t="shared" ca="1" si="47"/>
        <v>3672.7792878446639</v>
      </c>
    </row>
    <row r="1003" spans="5:8" x14ac:dyDescent="0.2">
      <c r="E1003" s="2">
        <f ca="1"/>
        <v>0.96123538923365737</v>
      </c>
      <c r="F1003" s="2">
        <f t="shared" ca="1" si="45"/>
        <v>1.7652055777634856</v>
      </c>
      <c r="G1003" s="72">
        <f t="shared" ca="1" si="46"/>
        <v>0.44130139444087141</v>
      </c>
      <c r="H1003">
        <f t="shared" ca="1" si="47"/>
        <v>6001.2547833258113</v>
      </c>
    </row>
    <row r="1004" spans="5:8" x14ac:dyDescent="0.2">
      <c r="E1004" s="2">
        <f ca="1"/>
        <v>0.59918444517502079</v>
      </c>
      <c r="F1004" s="2">
        <f t="shared" ca="1" si="45"/>
        <v>0.2512367027651688</v>
      </c>
      <c r="G1004" s="72">
        <f t="shared" ca="1" si="46"/>
        <v>6.2809175691292199E-2</v>
      </c>
      <c r="H1004">
        <f t="shared" ca="1" si="47"/>
        <v>4110.2191948569925</v>
      </c>
    </row>
    <row r="1005" spans="5:8" x14ac:dyDescent="0.2">
      <c r="E1005" s="2">
        <f ca="1"/>
        <v>0.2971064034605071</v>
      </c>
      <c r="F1005" s="2">
        <f t="shared" ca="1" si="45"/>
        <v>-0.53274110621706561</v>
      </c>
      <c r="G1005" s="72">
        <f t="shared" ca="1" si="46"/>
        <v>-0.1331852765542664</v>
      </c>
      <c r="H1005">
        <f t="shared" ca="1" si="47"/>
        <v>3378.6692093566917</v>
      </c>
    </row>
    <row r="1006" spans="5:8" x14ac:dyDescent="0.2">
      <c r="E1006" s="2">
        <f ca="1"/>
        <v>6.6291843296478969E-2</v>
      </c>
      <c r="F1006" s="2">
        <f t="shared" ca="1" si="45"/>
        <v>-1.5039909903399984</v>
      </c>
      <c r="G1006" s="72">
        <f t="shared" ca="1" si="46"/>
        <v>-0.3759977475849996</v>
      </c>
      <c r="H1006">
        <f t="shared" ca="1" si="47"/>
        <v>2650.2909750917065</v>
      </c>
    </row>
    <row r="1007" spans="5:8" x14ac:dyDescent="0.2">
      <c r="E1007" s="2">
        <f ca="1"/>
        <v>0.71354052737642171</v>
      </c>
      <c r="F1007" s="2">
        <f t="shared" ca="1" si="45"/>
        <v>0.56375784374309246</v>
      </c>
      <c r="G1007" s="72">
        <f t="shared" ca="1" si="46"/>
        <v>0.14093946093577311</v>
      </c>
      <c r="H1007">
        <f t="shared" ca="1" si="47"/>
        <v>4444.2300835464785</v>
      </c>
    </row>
    <row r="1008" spans="5:8" x14ac:dyDescent="0.2">
      <c r="E1008" s="2">
        <f ca="1"/>
        <v>0.94405342074066478</v>
      </c>
      <c r="F1008" s="2">
        <f t="shared" ca="1" si="45"/>
        <v>1.5897411743723004</v>
      </c>
      <c r="G1008" s="72">
        <f t="shared" ca="1" si="46"/>
        <v>0.39743529359307511</v>
      </c>
      <c r="H1008">
        <f t="shared" ca="1" si="47"/>
        <v>5743.6935389160717</v>
      </c>
    </row>
    <row r="1009" spans="5:8" x14ac:dyDescent="0.2">
      <c r="E1009" s="2">
        <f ca="1"/>
        <v>0.6677165349864187</v>
      </c>
      <c r="F1009" s="2">
        <f t="shared" ca="1" si="45"/>
        <v>0.4336165287569167</v>
      </c>
      <c r="G1009" s="72">
        <f t="shared" ca="1" si="46"/>
        <v>0.10840413218922917</v>
      </c>
      <c r="H1009">
        <f t="shared" ca="1" si="47"/>
        <v>4301.9625074608693</v>
      </c>
    </row>
    <row r="1010" spans="5:8" x14ac:dyDescent="0.2">
      <c r="E1010" s="2">
        <f ca="1"/>
        <v>0.20903738791277515</v>
      </c>
      <c r="F1010" s="2">
        <f t="shared" ca="1" si="45"/>
        <v>-0.80976582831339838</v>
      </c>
      <c r="G1010" s="72">
        <f t="shared" ca="1" si="46"/>
        <v>-0.2024414570783496</v>
      </c>
      <c r="H1010">
        <f t="shared" ca="1" si="47"/>
        <v>3152.5943795121666</v>
      </c>
    </row>
    <row r="1011" spans="5:8" x14ac:dyDescent="0.2">
      <c r="E1011" s="2">
        <f ca="1"/>
        <v>0.2214732312820924</v>
      </c>
      <c r="F1011" s="2">
        <f t="shared" ca="1" si="45"/>
        <v>-0.76722716803682123</v>
      </c>
      <c r="G1011" s="72">
        <f t="shared" ca="1" si="46"/>
        <v>-0.19180679200920531</v>
      </c>
      <c r="H1011">
        <f t="shared" ca="1" si="47"/>
        <v>3186.3000715453963</v>
      </c>
    </row>
    <row r="1012" spans="5:8" x14ac:dyDescent="0.2">
      <c r="E1012" s="2">
        <f ca="1"/>
        <v>0.85652607193423491</v>
      </c>
      <c r="F1012" s="2">
        <f t="shared" ca="1" si="45"/>
        <v>1.0648410702478752</v>
      </c>
      <c r="G1012" s="72">
        <f t="shared" ca="1" si="46"/>
        <v>0.26621026756196881</v>
      </c>
      <c r="H1012">
        <f t="shared" ca="1" si="47"/>
        <v>5037.3364036272678</v>
      </c>
    </row>
    <row r="1013" spans="5:8" x14ac:dyDescent="0.2">
      <c r="E1013" s="2">
        <f ca="1"/>
        <v>0.84085255609795917</v>
      </c>
      <c r="F1013" s="2">
        <f t="shared" ca="1" si="45"/>
        <v>0.99796797563646866</v>
      </c>
      <c r="G1013" s="72">
        <f t="shared" ca="1" si="46"/>
        <v>0.24949199390911717</v>
      </c>
      <c r="H1013">
        <f t="shared" ca="1" si="47"/>
        <v>4953.8208979004048</v>
      </c>
    </row>
    <row r="1014" spans="5:8" x14ac:dyDescent="0.2">
      <c r="E1014" s="2">
        <f ca="1"/>
        <v>0.31150410016195496</v>
      </c>
      <c r="F1014" s="2">
        <f t="shared" ca="1" si="45"/>
        <v>-0.49159143383383275</v>
      </c>
      <c r="G1014" s="72">
        <f t="shared" ca="1" si="46"/>
        <v>-0.12289785845845819</v>
      </c>
      <c r="H1014">
        <f t="shared" ca="1" si="47"/>
        <v>3413.60639069744</v>
      </c>
    </row>
    <row r="1015" spans="5:8" x14ac:dyDescent="0.2">
      <c r="E1015" s="2">
        <f ca="1"/>
        <v>0.51282264699623048</v>
      </c>
      <c r="F1015" s="2">
        <f t="shared" ca="1" si="45"/>
        <v>3.2147145677024085E-2</v>
      </c>
      <c r="G1015" s="72">
        <f t="shared" ca="1" si="46"/>
        <v>8.0367864192560211E-3</v>
      </c>
      <c r="H1015">
        <f t="shared" ca="1" si="47"/>
        <v>3891.146988778215</v>
      </c>
    </row>
    <row r="1016" spans="5:8" x14ac:dyDescent="0.2">
      <c r="E1016" s="2">
        <f ca="1"/>
        <v>0.34490500045726535</v>
      </c>
      <c r="F1016" s="2">
        <f t="shared" ca="1" si="45"/>
        <v>-0.39911292252884806</v>
      </c>
      <c r="G1016" s="72">
        <f t="shared" ca="1" si="46"/>
        <v>-9.9778230632212014E-2</v>
      </c>
      <c r="H1016">
        <f t="shared" ca="1" si="47"/>
        <v>3493.4470872703482</v>
      </c>
    </row>
    <row r="1017" spans="5:8" x14ac:dyDescent="0.2">
      <c r="E1017" s="2">
        <f ca="1"/>
        <v>0.59579472937934952</v>
      </c>
      <c r="F1017" s="2">
        <f t="shared" ca="1" si="45"/>
        <v>0.24247704553267513</v>
      </c>
      <c r="G1017" s="72">
        <f t="shared" ca="1" si="46"/>
        <v>6.0619261383168782E-2</v>
      </c>
      <c r="H1017">
        <f t="shared" ca="1" si="47"/>
        <v>4101.2280155819899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535CA-90B3-4F99-A33B-F4EA5DA2D2FD}">
  <sheetPr codeName="Sheet2"/>
  <dimension ref="D2:Q1022"/>
  <sheetViews>
    <sheetView showGridLines="0" topLeftCell="A26" zoomScale="99" workbookViewId="0">
      <selection activeCell="H49" sqref="H49:N49"/>
    </sheetView>
  </sheetViews>
  <sheetFormatPr defaultRowHeight="14.25" x14ac:dyDescent="0.2"/>
  <cols>
    <col min="1" max="1" width="2.625" customWidth="1"/>
    <col min="6" max="6" width="9.125" bestFit="1" customWidth="1"/>
    <col min="8" max="14" width="10.625" customWidth="1"/>
  </cols>
  <sheetData>
    <row r="2" spans="4:4" x14ac:dyDescent="0.2">
      <c r="D2" t="s">
        <v>34</v>
      </c>
    </row>
    <row r="3" spans="4:4" x14ac:dyDescent="0.2">
      <c r="D3" t="s">
        <v>43</v>
      </c>
    </row>
    <row r="4" spans="4:4" x14ac:dyDescent="0.2">
      <c r="D4" t="s">
        <v>38</v>
      </c>
    </row>
    <row r="7" spans="4:4" ht="15" x14ac:dyDescent="0.25">
      <c r="D7" s="1" t="s">
        <v>33</v>
      </c>
    </row>
    <row r="8" spans="4:4" x14ac:dyDescent="0.2">
      <c r="D8" t="s">
        <v>35</v>
      </c>
    </row>
    <row r="9" spans="4:4" x14ac:dyDescent="0.2">
      <c r="D9" t="s">
        <v>36</v>
      </c>
    </row>
    <row r="10" spans="4:4" x14ac:dyDescent="0.2">
      <c r="D10" t="s">
        <v>37</v>
      </c>
    </row>
    <row r="11" spans="4:4" x14ac:dyDescent="0.2">
      <c r="D11" t="s">
        <v>39</v>
      </c>
    </row>
    <row r="12" spans="4:4" x14ac:dyDescent="0.2">
      <c r="D12" t="s">
        <v>41</v>
      </c>
    </row>
    <row r="13" spans="4:4" x14ac:dyDescent="0.2">
      <c r="D13" s="30" t="s">
        <v>83</v>
      </c>
    </row>
    <row r="14" spans="4:4" x14ac:dyDescent="0.2">
      <c r="D14" s="3" t="s">
        <v>47</v>
      </c>
    </row>
    <row r="15" spans="4:4" x14ac:dyDescent="0.2">
      <c r="D15" s="3"/>
    </row>
    <row r="18" spans="4:17" x14ac:dyDescent="0.2">
      <c r="D18" t="s">
        <v>26</v>
      </c>
      <c r="G18" s="15">
        <v>8.8000000000000007</v>
      </c>
      <c r="I18" t="s">
        <v>30</v>
      </c>
      <c r="J18" s="17">
        <f>G18*F40</f>
        <v>4410.5599999999995</v>
      </c>
    </row>
    <row r="21" spans="4:17" x14ac:dyDescent="0.2">
      <c r="D21" t="s">
        <v>16</v>
      </c>
      <c r="G21" s="16">
        <v>4.4999999999999998E-2</v>
      </c>
      <c r="Q21" t="s">
        <v>46</v>
      </c>
    </row>
    <row r="22" spans="4:17" x14ac:dyDescent="0.2">
      <c r="D22" t="s">
        <v>17</v>
      </c>
      <c r="G22" s="16">
        <v>0.03</v>
      </c>
    </row>
    <row r="23" spans="4:17" x14ac:dyDescent="0.2">
      <c r="H23">
        <v>1</v>
      </c>
      <c r="I23">
        <f>H23+1</f>
        <v>2</v>
      </c>
      <c r="J23">
        <f t="shared" ref="J23:L23" si="0">I23+1</f>
        <v>3</v>
      </c>
      <c r="K23">
        <f t="shared" si="0"/>
        <v>4</v>
      </c>
      <c r="L23">
        <f t="shared" si="0"/>
        <v>5</v>
      </c>
      <c r="M23">
        <f t="shared" ref="M23:N23" si="1">L23+1</f>
        <v>6</v>
      </c>
      <c r="N23">
        <f t="shared" si="1"/>
        <v>7</v>
      </c>
      <c r="Q23" s="2">
        <v>7</v>
      </c>
    </row>
    <row r="24" spans="4:17" x14ac:dyDescent="0.2">
      <c r="D24" t="s">
        <v>24</v>
      </c>
      <c r="H24" s="11">
        <f ca="1">RAND()</f>
        <v>0.8448491356416975</v>
      </c>
      <c r="I24" s="11">
        <f ca="1">RAND()</f>
        <v>0.29391980859105271</v>
      </c>
      <c r="J24" s="11">
        <f t="shared" ref="J24:N24" ca="1" si="2">RAND()</f>
        <v>8.6597083693742305E-2</v>
      </c>
      <c r="K24" s="11">
        <f t="shared" ca="1" si="2"/>
        <v>0.76705424430541225</v>
      </c>
      <c r="L24" s="11">
        <f t="shared" ca="1" si="2"/>
        <v>0.54820445163924214</v>
      </c>
      <c r="M24" s="11">
        <f t="shared" ca="1" si="2"/>
        <v>0.50959974308995359</v>
      </c>
      <c r="N24" s="11">
        <f t="shared" ca="1" si="2"/>
        <v>0.31028726804057039</v>
      </c>
      <c r="Q24" s="2">
        <v>7</v>
      </c>
    </row>
    <row r="25" spans="4:17" x14ac:dyDescent="0.2">
      <c r="D25" t="s">
        <v>25</v>
      </c>
      <c r="H25" s="10">
        <f ca="1">_xlfn.NORM.S.INV(H24)</f>
        <v>1.0145891180852249</v>
      </c>
      <c r="I25" s="10">
        <f t="shared" ref="I25:N25" ca="1" si="3">_xlfn.NORM.S.INV(I24)</f>
        <v>-0.54196935487987918</v>
      </c>
      <c r="J25" s="10">
        <f t="shared" ca="1" si="3"/>
        <v>-1.3620117803683041</v>
      </c>
      <c r="K25" s="10">
        <f t="shared" ca="1" si="3"/>
        <v>0.72918008527612721</v>
      </c>
      <c r="L25" s="10">
        <f t="shared" ca="1" si="3"/>
        <v>0.12112617555365734</v>
      </c>
      <c r="M25" s="10">
        <f t="shared" ca="1" si="3"/>
        <v>2.4065310117241369E-2</v>
      </c>
      <c r="N25" s="10">
        <f t="shared" ca="1" si="3"/>
        <v>-0.49503624482824982</v>
      </c>
      <c r="Q25" s="2">
        <v>7</v>
      </c>
    </row>
    <row r="26" spans="4:17" x14ac:dyDescent="0.2">
      <c r="D26" t="s">
        <v>31</v>
      </c>
      <c r="H26" s="9">
        <f ca="1">$G$21+H25*$G$22</f>
        <v>7.5437673542556746E-2</v>
      </c>
      <c r="I26" s="9">
        <f t="shared" ref="I26:N26" ca="1" si="4">$G$21+I25*$G$22</f>
        <v>2.8740919353603622E-2</v>
      </c>
      <c r="J26" s="9">
        <f t="shared" ca="1" si="4"/>
        <v>4.1396465889508779E-3</v>
      </c>
      <c r="K26" s="9">
        <f t="shared" ca="1" si="4"/>
        <v>6.6875402558283809E-2</v>
      </c>
      <c r="L26" s="9">
        <f t="shared" ca="1" si="4"/>
        <v>4.8633785266609719E-2</v>
      </c>
      <c r="M26" s="9">
        <f t="shared" ca="1" si="4"/>
        <v>4.5721959303517239E-2</v>
      </c>
      <c r="N26" s="9">
        <f t="shared" ca="1" si="4"/>
        <v>3.0148912655152505E-2</v>
      </c>
      <c r="Q26" s="2">
        <v>7</v>
      </c>
    </row>
    <row r="27" spans="4:17" x14ac:dyDescent="0.2">
      <c r="Q27" s="2">
        <v>7</v>
      </c>
    </row>
    <row r="28" spans="4:17" x14ac:dyDescent="0.2">
      <c r="F28" s="8" t="s">
        <v>18</v>
      </c>
      <c r="G28" s="8"/>
      <c r="H28" s="12" t="str">
        <f t="shared" ref="H28:N28" si="5">"Year "&amp;H23</f>
        <v>Year 1</v>
      </c>
      <c r="I28" s="12" t="str">
        <f t="shared" si="5"/>
        <v>Year 2</v>
      </c>
      <c r="J28" s="12" t="str">
        <f t="shared" si="5"/>
        <v>Year 3</v>
      </c>
      <c r="K28" s="12" t="str">
        <f t="shared" si="5"/>
        <v>Year 4</v>
      </c>
      <c r="L28" s="12" t="str">
        <f t="shared" si="5"/>
        <v>Year 5</v>
      </c>
      <c r="M28" s="12" t="str">
        <f t="shared" si="5"/>
        <v>Year 6</v>
      </c>
      <c r="N28" s="12" t="str">
        <f t="shared" si="5"/>
        <v>Year 7</v>
      </c>
      <c r="Q28" s="2">
        <v>7</v>
      </c>
    </row>
    <row r="29" spans="4:17" x14ac:dyDescent="0.2">
      <c r="D29" t="s">
        <v>14</v>
      </c>
      <c r="F29" s="5">
        <v>1253</v>
      </c>
      <c r="H29" s="13">
        <f ca="1">F29*(1+H26)</f>
        <v>1347.5234049488238</v>
      </c>
      <c r="I29" s="13">
        <f t="shared" ref="I29:N29" ca="1" si="6">H29*(1+I26)</f>
        <v>1386.2524664575515</v>
      </c>
      <c r="J29" s="13">
        <f t="shared" ca="1" si="6"/>
        <v>1391.9910617517473</v>
      </c>
      <c r="K29" s="13">
        <f t="shared" ca="1" si="6"/>
        <v>1485.0810243639285</v>
      </c>
      <c r="L29" s="13">
        <f t="shared" ca="1" si="6"/>
        <v>1557.3061360063605</v>
      </c>
      <c r="M29" s="13">
        <f t="shared" ca="1" si="6"/>
        <v>1628.5092237799608</v>
      </c>
      <c r="N29" s="13">
        <f t="shared" ca="1" si="6"/>
        <v>1677.6070061258129</v>
      </c>
      <c r="Q29" s="2">
        <v>7</v>
      </c>
    </row>
    <row r="30" spans="4:17" x14ac:dyDescent="0.2">
      <c r="D30" t="s">
        <v>23</v>
      </c>
      <c r="F30" s="5"/>
      <c r="Q30" s="2">
        <v>7</v>
      </c>
    </row>
    <row r="31" spans="4:17" x14ac:dyDescent="0.2">
      <c r="Q31" s="2">
        <v>7</v>
      </c>
    </row>
    <row r="32" spans="4:17" x14ac:dyDescent="0.2">
      <c r="D32" t="s">
        <v>15</v>
      </c>
      <c r="F32" s="6">
        <f>F29*F33</f>
        <v>501.20000000000005</v>
      </c>
      <c r="H32" s="6">
        <f t="shared" ref="H32:L32" ca="1" si="7">H29*H33</f>
        <v>539.00936197952956</v>
      </c>
      <c r="I32" s="6">
        <f t="shared" ca="1" si="7"/>
        <v>554.50098658302056</v>
      </c>
      <c r="J32" s="6">
        <f t="shared" ca="1" si="7"/>
        <v>556.79642470069894</v>
      </c>
      <c r="K32" s="6">
        <f t="shared" ca="1" si="7"/>
        <v>594.03240974557139</v>
      </c>
      <c r="L32" s="6">
        <f t="shared" ca="1" si="7"/>
        <v>622.92245440254419</v>
      </c>
      <c r="M32" s="6">
        <f t="shared" ref="M32" ca="1" si="8">M29*M33</f>
        <v>651.40368951198434</v>
      </c>
      <c r="N32" s="6">
        <f t="shared" ref="N32" ca="1" si="9">N29*N33</f>
        <v>671.04280245032521</v>
      </c>
      <c r="Q32" s="2">
        <v>7</v>
      </c>
    </row>
    <row r="33" spans="4:17" x14ac:dyDescent="0.2">
      <c r="D33" t="s">
        <v>19</v>
      </c>
      <c r="F33" s="7">
        <v>0.4</v>
      </c>
      <c r="H33" s="7">
        <v>0.4</v>
      </c>
      <c r="I33" s="7">
        <v>0.4</v>
      </c>
      <c r="J33" s="7">
        <v>0.4</v>
      </c>
      <c r="K33" s="7">
        <v>0.4</v>
      </c>
      <c r="L33" s="7">
        <v>0.4</v>
      </c>
      <c r="M33" s="7">
        <v>0.4</v>
      </c>
      <c r="N33" s="7">
        <v>0.4</v>
      </c>
      <c r="Q33" s="2">
        <v>7</v>
      </c>
    </row>
    <row r="34" spans="4:17" x14ac:dyDescent="0.2">
      <c r="F34" s="8"/>
      <c r="H34" s="8"/>
      <c r="I34" s="8"/>
      <c r="J34" s="8"/>
      <c r="K34" s="8"/>
      <c r="L34" s="8"/>
      <c r="M34" s="8"/>
      <c r="N34" s="8"/>
      <c r="Q34" s="2">
        <v>7</v>
      </c>
    </row>
    <row r="35" spans="4:17" x14ac:dyDescent="0.2">
      <c r="D35" t="s">
        <v>22</v>
      </c>
      <c r="F35" s="6">
        <f>F29-F32</f>
        <v>751.8</v>
      </c>
      <c r="H35" s="6">
        <f t="shared" ref="H35:L35" ca="1" si="10">H29-H32</f>
        <v>808.51404296929422</v>
      </c>
      <c r="I35" s="6">
        <f t="shared" ca="1" si="10"/>
        <v>831.7514798745309</v>
      </c>
      <c r="J35" s="6">
        <f t="shared" ca="1" si="10"/>
        <v>835.1946370510484</v>
      </c>
      <c r="K35" s="6">
        <f t="shared" ca="1" si="10"/>
        <v>891.04861461835708</v>
      </c>
      <c r="L35" s="6">
        <f t="shared" ca="1" si="10"/>
        <v>934.38368160381629</v>
      </c>
      <c r="M35" s="6">
        <f t="shared" ref="M35:N35" ca="1" si="11">M29-M32</f>
        <v>977.10553426797651</v>
      </c>
      <c r="N35" s="6">
        <f t="shared" ca="1" si="11"/>
        <v>1006.5642036754876</v>
      </c>
      <c r="Q35" s="2">
        <v>7</v>
      </c>
    </row>
    <row r="36" spans="4:17" x14ac:dyDescent="0.2">
      <c r="Q36" s="2">
        <v>7</v>
      </c>
    </row>
    <row r="37" spans="4:17" x14ac:dyDescent="0.2">
      <c r="D37" t="s">
        <v>20</v>
      </c>
      <c r="F37" s="6">
        <f>F29*F38</f>
        <v>250.60000000000002</v>
      </c>
      <c r="H37" s="6">
        <f t="shared" ref="H37:L37" ca="1" si="12">H29*H38</f>
        <v>269.50468098976478</v>
      </c>
      <c r="I37" s="6">
        <f t="shared" ca="1" si="12"/>
        <v>277.25049329151028</v>
      </c>
      <c r="J37" s="6">
        <f t="shared" ca="1" si="12"/>
        <v>278.39821235034947</v>
      </c>
      <c r="K37" s="6">
        <f t="shared" ca="1" si="12"/>
        <v>297.01620487278569</v>
      </c>
      <c r="L37" s="6">
        <f t="shared" ca="1" si="12"/>
        <v>311.4612272012721</v>
      </c>
      <c r="M37" s="6">
        <f t="shared" ref="M37" ca="1" si="13">M29*M38</f>
        <v>325.70184475599217</v>
      </c>
      <c r="N37" s="6">
        <f t="shared" ref="N37" ca="1" si="14">N29*N38</f>
        <v>335.52140122516261</v>
      </c>
      <c r="Q37" s="2">
        <v>7</v>
      </c>
    </row>
    <row r="38" spans="4:17" x14ac:dyDescent="0.2">
      <c r="D38" t="s">
        <v>19</v>
      </c>
      <c r="F38" s="7">
        <v>0.2</v>
      </c>
      <c r="H38" s="7">
        <v>0.2</v>
      </c>
      <c r="I38" s="7">
        <v>0.2</v>
      </c>
      <c r="J38" s="7">
        <v>0.2</v>
      </c>
      <c r="K38" s="7">
        <v>0.2</v>
      </c>
      <c r="L38" s="7">
        <v>0.2</v>
      </c>
      <c r="M38" s="7">
        <v>0.2</v>
      </c>
      <c r="N38" s="7">
        <v>0.2</v>
      </c>
      <c r="Q38" s="2">
        <v>7</v>
      </c>
    </row>
    <row r="39" spans="4:17" x14ac:dyDescent="0.2">
      <c r="F39" s="8"/>
      <c r="H39" s="8"/>
      <c r="I39" s="8"/>
      <c r="J39" s="8"/>
      <c r="K39" s="8"/>
      <c r="L39" s="8"/>
      <c r="M39" s="8"/>
      <c r="N39" s="8"/>
      <c r="Q39" s="2">
        <v>7</v>
      </c>
    </row>
    <row r="40" spans="4:17" x14ac:dyDescent="0.2">
      <c r="D40" t="s">
        <v>21</v>
      </c>
      <c r="F40" s="6">
        <f>F35-F37</f>
        <v>501.19999999999993</v>
      </c>
      <c r="H40" s="6">
        <f t="shared" ref="H40:L40" ca="1" si="15">H35-H37</f>
        <v>539.00936197952944</v>
      </c>
      <c r="I40" s="6">
        <f t="shared" ca="1" si="15"/>
        <v>554.50098658302068</v>
      </c>
      <c r="J40" s="6">
        <f t="shared" ca="1" si="15"/>
        <v>556.79642470069894</v>
      </c>
      <c r="K40" s="6">
        <f t="shared" ca="1" si="15"/>
        <v>594.03240974557139</v>
      </c>
      <c r="L40" s="6">
        <f t="shared" ca="1" si="15"/>
        <v>622.92245440254419</v>
      </c>
      <c r="M40" s="6">
        <f t="shared" ref="M40:N40" ca="1" si="16">M35-M37</f>
        <v>651.40368951198434</v>
      </c>
      <c r="N40" s="6">
        <f t="shared" ca="1" si="16"/>
        <v>671.0428024503251</v>
      </c>
      <c r="Q40" s="2">
        <v>7</v>
      </c>
    </row>
    <row r="41" spans="4:17" x14ac:dyDescent="0.2">
      <c r="Q41" s="2">
        <v>7</v>
      </c>
    </row>
    <row r="42" spans="4:17" x14ac:dyDescent="0.2">
      <c r="Q42" s="2">
        <v>7</v>
      </c>
    </row>
    <row r="43" spans="4:17" x14ac:dyDescent="0.2">
      <c r="D43" t="s">
        <v>27</v>
      </c>
      <c r="Q43" s="2">
        <v>7</v>
      </c>
    </row>
    <row r="44" spans="4:17" x14ac:dyDescent="0.2">
      <c r="D44" t="s">
        <v>28</v>
      </c>
      <c r="F44" s="15">
        <v>8</v>
      </c>
      <c r="Q44" s="2">
        <v>7</v>
      </c>
    </row>
    <row r="45" spans="4:17" x14ac:dyDescent="0.2">
      <c r="D45" t="s">
        <v>29</v>
      </c>
      <c r="F45" s="15">
        <v>0.5</v>
      </c>
      <c r="Q45" s="2">
        <v>7</v>
      </c>
    </row>
    <row r="46" spans="4:17" x14ac:dyDescent="0.2">
      <c r="Q46" s="2">
        <v>7</v>
      </c>
    </row>
    <row r="47" spans="4:17" x14ac:dyDescent="0.2">
      <c r="D47" t="s">
        <v>24</v>
      </c>
      <c r="H47" s="11">
        <f ca="1">RAND()</f>
        <v>0.67850712202976526</v>
      </c>
      <c r="I47" s="11">
        <f t="shared" ref="I47:N47" ca="1" si="17">RAND()</f>
        <v>0.98025946460880131</v>
      </c>
      <c r="J47" s="11">
        <f t="shared" ca="1" si="17"/>
        <v>0.27140188530118969</v>
      </c>
      <c r="K47" s="11">
        <f t="shared" ca="1" si="17"/>
        <v>0.83824217815037805</v>
      </c>
      <c r="L47" s="11">
        <f t="shared" ca="1" si="17"/>
        <v>0.68505498968641554</v>
      </c>
      <c r="M47" s="11">
        <f t="shared" ca="1" si="17"/>
        <v>0.77725266547497018</v>
      </c>
      <c r="N47" s="11">
        <f t="shared" ca="1" si="17"/>
        <v>6.9948063159525842E-2</v>
      </c>
      <c r="Q47" s="2">
        <v>7</v>
      </c>
    </row>
    <row r="48" spans="4:17" x14ac:dyDescent="0.2">
      <c r="D48" t="s">
        <v>25</v>
      </c>
      <c r="H48" s="10">
        <f ca="1">_xlfn.NORM.S.INV(H47)</f>
        <v>0.46352827021054199</v>
      </c>
      <c r="I48" s="10">
        <f t="shared" ref="I48:N48" ca="1" si="18">_xlfn.NORM.S.INV(I47)</f>
        <v>2.0591374747987903</v>
      </c>
      <c r="J48" s="10">
        <f t="shared" ca="1" si="18"/>
        <v>-0.60857863326727235</v>
      </c>
      <c r="K48" s="10">
        <f t="shared" ca="1" si="18"/>
        <v>0.9872590835606575</v>
      </c>
      <c r="L48" s="10">
        <f t="shared" ca="1" si="18"/>
        <v>0.48188165235395253</v>
      </c>
      <c r="M48" s="10">
        <f t="shared" ca="1" si="18"/>
        <v>0.76294756276019482</v>
      </c>
      <c r="N48" s="10">
        <f t="shared" ca="1" si="18"/>
        <v>-1.4761779536174886</v>
      </c>
      <c r="Q48" s="2">
        <v>7</v>
      </c>
    </row>
    <row r="49" spans="4:17" x14ac:dyDescent="0.2">
      <c r="D49" t="s">
        <v>32</v>
      </c>
      <c r="H49" s="14">
        <f ca="1">$F$44+(H48*$F$45)</f>
        <v>8.2317641351052711</v>
      </c>
      <c r="I49" s="14">
        <f t="shared" ref="I49:N49" ca="1" si="19">$F$44+(I48*$F$45)</f>
        <v>9.0295687373993943</v>
      </c>
      <c r="J49" s="14">
        <f t="shared" ca="1" si="19"/>
        <v>7.6957106833663635</v>
      </c>
      <c r="K49" s="14">
        <f t="shared" ca="1" si="19"/>
        <v>8.4936295417803294</v>
      </c>
      <c r="L49" s="14">
        <f t="shared" ca="1" si="19"/>
        <v>8.2409408261769759</v>
      </c>
      <c r="M49" s="14">
        <f t="shared" ca="1" si="19"/>
        <v>8.3814737813800981</v>
      </c>
      <c r="N49" s="14">
        <f t="shared" ca="1" si="19"/>
        <v>7.2619110231912556</v>
      </c>
      <c r="Q49" s="2">
        <v>7</v>
      </c>
    </row>
    <row r="50" spans="4:17" x14ac:dyDescent="0.2">
      <c r="Q50" s="2">
        <v>7</v>
      </c>
    </row>
    <row r="51" spans="4:17" x14ac:dyDescent="0.2">
      <c r="D51" t="s">
        <v>40</v>
      </c>
      <c r="H51" s="18">
        <f ca="1">H49*H40</f>
        <v>4436.997934429065</v>
      </c>
      <c r="I51" s="18">
        <f t="shared" ref="I51:N51" ca="1" si="20">I49*I40</f>
        <v>5006.9047733071648</v>
      </c>
      <c r="J51" s="18">
        <f t="shared" ca="1" si="20"/>
        <v>4284.9441940293636</v>
      </c>
      <c r="K51" s="18">
        <f t="shared" ca="1" si="20"/>
        <v>5045.4912241899419</v>
      </c>
      <c r="L51" s="18">
        <f t="shared" ca="1" si="20"/>
        <v>5133.4670860282922</v>
      </c>
      <c r="M51" s="18">
        <f t="shared" ca="1" si="20"/>
        <v>5459.7229447389591</v>
      </c>
      <c r="N51" s="18">
        <f t="shared" ca="1" si="20"/>
        <v>4873.0531241471681</v>
      </c>
      <c r="Q51" s="2">
        <v>7</v>
      </c>
    </row>
    <row r="52" spans="4:17" x14ac:dyDescent="0.2">
      <c r="D52" t="s">
        <v>42</v>
      </c>
      <c r="H52" s="7">
        <f ca="1">(H51/$J$18)^(1/H23)-1</f>
        <v>5.9942352964397205E-3</v>
      </c>
      <c r="I52" s="7">
        <f t="shared" ref="I52:N52" ca="1" si="21">(I51/$J$18)^(1/I23)-1</f>
        <v>6.546159145109387E-2</v>
      </c>
      <c r="J52" s="7">
        <f t="shared" ca="1" si="21"/>
        <v>-9.5851458586226901E-3</v>
      </c>
      <c r="K52" s="7">
        <f t="shared" ca="1" si="21"/>
        <v>3.4194991418498022E-2</v>
      </c>
      <c r="L52" s="7">
        <f t="shared" ca="1" si="21"/>
        <v>3.0821360794452524E-2</v>
      </c>
      <c r="M52" s="7">
        <f t="shared" ca="1" si="21"/>
        <v>3.6206101134602209E-2</v>
      </c>
      <c r="N52" s="7">
        <f t="shared" ca="1" si="21"/>
        <v>1.4347523127700823E-2</v>
      </c>
      <c r="Q52" s="2" t="s">
        <v>93</v>
      </c>
    </row>
    <row r="53" spans="4:17" x14ac:dyDescent="0.2">
      <c r="Q53" s="2">
        <v>7</v>
      </c>
    </row>
    <row r="54" spans="4:17" x14ac:dyDescent="0.2">
      <c r="D54" t="s">
        <v>44</v>
      </c>
      <c r="H54" s="19">
        <v>0.22</v>
      </c>
      <c r="I54" s="19">
        <v>0.15</v>
      </c>
      <c r="J54" s="19">
        <v>0.12</v>
      </c>
      <c r="K54" s="19">
        <v>0.1</v>
      </c>
      <c r="L54" s="19">
        <v>0.08</v>
      </c>
      <c r="M54" s="19">
        <v>7.0000000000000007E-2</v>
      </c>
      <c r="N54" s="19">
        <v>0</v>
      </c>
      <c r="Q54" s="2">
        <v>7</v>
      </c>
    </row>
    <row r="55" spans="4:17" x14ac:dyDescent="0.2">
      <c r="Q55" s="2">
        <v>7</v>
      </c>
    </row>
    <row r="56" spans="4:17" x14ac:dyDescent="0.2">
      <c r="D56" t="s">
        <v>45</v>
      </c>
      <c r="H56" t="str">
        <f ca="1">IF(H52&gt;H54,H23,"No exit")</f>
        <v>No exit</v>
      </c>
      <c r="I56" t="str">
        <f t="shared" ref="I56:N56" ca="1" si="22">IF(H56 = "No exit",IF(I52&gt;I54,I23,"No exit"),H56)</f>
        <v>No exit</v>
      </c>
      <c r="J56" t="str">
        <f t="shared" ca="1" si="22"/>
        <v>No exit</v>
      </c>
      <c r="K56" t="str">
        <f t="shared" ca="1" si="22"/>
        <v>No exit</v>
      </c>
      <c r="L56" t="str">
        <f t="shared" ca="1" si="22"/>
        <v>No exit</v>
      </c>
      <c r="M56" t="str">
        <f t="shared" ca="1" si="22"/>
        <v>No exit</v>
      </c>
      <c r="N56">
        <f t="shared" ca="1" si="22"/>
        <v>7</v>
      </c>
      <c r="Q56" s="2">
        <v>7</v>
      </c>
    </row>
    <row r="57" spans="4:17" x14ac:dyDescent="0.2">
      <c r="Q57" s="2">
        <v>7</v>
      </c>
    </row>
    <row r="58" spans="4:17" x14ac:dyDescent="0.2">
      <c r="Q58" s="2">
        <v>7</v>
      </c>
    </row>
    <row r="59" spans="4:17" x14ac:dyDescent="0.2">
      <c r="Q59" s="2">
        <v>7</v>
      </c>
    </row>
    <row r="60" spans="4:17" x14ac:dyDescent="0.2">
      <c r="Q60" s="2">
        <v>7</v>
      </c>
    </row>
    <row r="61" spans="4:17" x14ac:dyDescent="0.2">
      <c r="Q61" s="2">
        <v>7</v>
      </c>
    </row>
    <row r="62" spans="4:17" x14ac:dyDescent="0.2">
      <c r="Q62" s="2">
        <v>7</v>
      </c>
    </row>
    <row r="63" spans="4:17" x14ac:dyDescent="0.2">
      <c r="Q63" s="2">
        <v>7</v>
      </c>
    </row>
    <row r="64" spans="4:17" x14ac:dyDescent="0.2">
      <c r="Q64" s="2">
        <v>7</v>
      </c>
    </row>
    <row r="65" spans="17:17" x14ac:dyDescent="0.2">
      <c r="Q65" s="2" t="s">
        <v>93</v>
      </c>
    </row>
    <row r="66" spans="17:17" x14ac:dyDescent="0.2">
      <c r="Q66" s="2">
        <v>7</v>
      </c>
    </row>
    <row r="67" spans="17:17" x14ac:dyDescent="0.2">
      <c r="Q67" s="2">
        <v>7</v>
      </c>
    </row>
    <row r="68" spans="17:17" x14ac:dyDescent="0.2">
      <c r="Q68" s="2">
        <v>7</v>
      </c>
    </row>
    <row r="69" spans="17:17" x14ac:dyDescent="0.2">
      <c r="Q69" s="2">
        <v>7</v>
      </c>
    </row>
    <row r="70" spans="17:17" x14ac:dyDescent="0.2">
      <c r="Q70" s="2">
        <v>7</v>
      </c>
    </row>
    <row r="71" spans="17:17" x14ac:dyDescent="0.2">
      <c r="Q71" s="2" t="s">
        <v>93</v>
      </c>
    </row>
    <row r="72" spans="17:17" x14ac:dyDescent="0.2">
      <c r="Q72" s="2">
        <v>7</v>
      </c>
    </row>
    <row r="73" spans="17:17" x14ac:dyDescent="0.2">
      <c r="Q73" s="2">
        <v>7</v>
      </c>
    </row>
    <row r="74" spans="17:17" x14ac:dyDescent="0.2">
      <c r="Q74" s="2">
        <v>7</v>
      </c>
    </row>
    <row r="75" spans="17:17" x14ac:dyDescent="0.2">
      <c r="Q75" s="2">
        <v>7</v>
      </c>
    </row>
    <row r="76" spans="17:17" x14ac:dyDescent="0.2">
      <c r="Q76" s="2">
        <v>7</v>
      </c>
    </row>
    <row r="77" spans="17:17" x14ac:dyDescent="0.2">
      <c r="Q77" s="2">
        <v>7</v>
      </c>
    </row>
    <row r="78" spans="17:17" x14ac:dyDescent="0.2">
      <c r="Q78" s="2">
        <v>7</v>
      </c>
    </row>
    <row r="79" spans="17:17" x14ac:dyDescent="0.2">
      <c r="Q79" s="2">
        <v>7</v>
      </c>
    </row>
    <row r="80" spans="17:17" x14ac:dyDescent="0.2">
      <c r="Q80" s="2">
        <v>7</v>
      </c>
    </row>
    <row r="81" spans="17:17" x14ac:dyDescent="0.2">
      <c r="Q81" s="2">
        <v>7</v>
      </c>
    </row>
    <row r="82" spans="17:17" x14ac:dyDescent="0.2">
      <c r="Q82" s="2" t="s">
        <v>93</v>
      </c>
    </row>
    <row r="83" spans="17:17" x14ac:dyDescent="0.2">
      <c r="Q83" s="2">
        <v>7</v>
      </c>
    </row>
    <row r="84" spans="17:17" x14ac:dyDescent="0.2">
      <c r="Q84" s="2">
        <v>7</v>
      </c>
    </row>
    <row r="85" spans="17:17" x14ac:dyDescent="0.2">
      <c r="Q85" s="2">
        <v>7</v>
      </c>
    </row>
    <row r="86" spans="17:17" x14ac:dyDescent="0.2">
      <c r="Q86" s="2">
        <v>7</v>
      </c>
    </row>
    <row r="87" spans="17:17" x14ac:dyDescent="0.2">
      <c r="Q87" s="2">
        <v>7</v>
      </c>
    </row>
    <row r="88" spans="17:17" x14ac:dyDescent="0.2">
      <c r="Q88" s="2">
        <v>7</v>
      </c>
    </row>
    <row r="89" spans="17:17" x14ac:dyDescent="0.2">
      <c r="Q89" s="2">
        <v>7</v>
      </c>
    </row>
    <row r="90" spans="17:17" x14ac:dyDescent="0.2">
      <c r="Q90" s="2">
        <v>7</v>
      </c>
    </row>
    <row r="91" spans="17:17" x14ac:dyDescent="0.2">
      <c r="Q91" s="2">
        <v>7</v>
      </c>
    </row>
    <row r="92" spans="17:17" x14ac:dyDescent="0.2">
      <c r="Q92" s="2">
        <v>7</v>
      </c>
    </row>
    <row r="93" spans="17:17" x14ac:dyDescent="0.2">
      <c r="Q93" s="2">
        <v>7</v>
      </c>
    </row>
    <row r="94" spans="17:17" x14ac:dyDescent="0.2">
      <c r="Q94" s="2">
        <v>7</v>
      </c>
    </row>
    <row r="95" spans="17:17" x14ac:dyDescent="0.2">
      <c r="Q95" s="2">
        <v>7</v>
      </c>
    </row>
    <row r="96" spans="17:17" x14ac:dyDescent="0.2">
      <c r="Q96" s="2">
        <v>7</v>
      </c>
    </row>
    <row r="97" spans="17:17" x14ac:dyDescent="0.2">
      <c r="Q97" s="2">
        <v>7</v>
      </c>
    </row>
    <row r="98" spans="17:17" x14ac:dyDescent="0.2">
      <c r="Q98" s="2">
        <v>7</v>
      </c>
    </row>
    <row r="99" spans="17:17" x14ac:dyDescent="0.2">
      <c r="Q99" s="2">
        <v>7</v>
      </c>
    </row>
    <row r="100" spans="17:17" x14ac:dyDescent="0.2">
      <c r="Q100" s="2">
        <v>7</v>
      </c>
    </row>
    <row r="101" spans="17:17" x14ac:dyDescent="0.2">
      <c r="Q101" s="2">
        <v>7</v>
      </c>
    </row>
    <row r="102" spans="17:17" x14ac:dyDescent="0.2">
      <c r="Q102" s="2">
        <v>7</v>
      </c>
    </row>
    <row r="103" spans="17:17" x14ac:dyDescent="0.2">
      <c r="Q103" s="2">
        <v>7</v>
      </c>
    </row>
    <row r="104" spans="17:17" x14ac:dyDescent="0.2">
      <c r="Q104" s="2">
        <v>7</v>
      </c>
    </row>
    <row r="105" spans="17:17" x14ac:dyDescent="0.2">
      <c r="Q105" s="2">
        <v>7</v>
      </c>
    </row>
    <row r="106" spans="17:17" x14ac:dyDescent="0.2">
      <c r="Q106" s="2">
        <v>7</v>
      </c>
    </row>
    <row r="107" spans="17:17" x14ac:dyDescent="0.2">
      <c r="Q107" s="2">
        <v>7</v>
      </c>
    </row>
    <row r="108" spans="17:17" x14ac:dyDescent="0.2">
      <c r="Q108" s="2">
        <v>7</v>
      </c>
    </row>
    <row r="109" spans="17:17" x14ac:dyDescent="0.2">
      <c r="Q109" s="2">
        <v>7</v>
      </c>
    </row>
    <row r="110" spans="17:17" x14ac:dyDescent="0.2">
      <c r="Q110" s="2">
        <v>7</v>
      </c>
    </row>
    <row r="111" spans="17:17" x14ac:dyDescent="0.2">
      <c r="Q111" s="2">
        <v>7</v>
      </c>
    </row>
    <row r="112" spans="17:17" x14ac:dyDescent="0.2">
      <c r="Q112" s="2">
        <v>7</v>
      </c>
    </row>
    <row r="113" spans="17:17" x14ac:dyDescent="0.2">
      <c r="Q113" s="2">
        <v>7</v>
      </c>
    </row>
    <row r="114" spans="17:17" x14ac:dyDescent="0.2">
      <c r="Q114" s="2">
        <v>7</v>
      </c>
    </row>
    <row r="115" spans="17:17" x14ac:dyDescent="0.2">
      <c r="Q115" s="2">
        <v>7</v>
      </c>
    </row>
    <row r="116" spans="17:17" x14ac:dyDescent="0.2">
      <c r="Q116" s="2">
        <v>7</v>
      </c>
    </row>
    <row r="117" spans="17:17" x14ac:dyDescent="0.2">
      <c r="Q117" s="2">
        <v>7</v>
      </c>
    </row>
    <row r="118" spans="17:17" x14ac:dyDescent="0.2">
      <c r="Q118" s="2">
        <v>7</v>
      </c>
    </row>
    <row r="119" spans="17:17" x14ac:dyDescent="0.2">
      <c r="Q119" s="2">
        <v>7</v>
      </c>
    </row>
    <row r="120" spans="17:17" x14ac:dyDescent="0.2">
      <c r="Q120" s="2">
        <v>7</v>
      </c>
    </row>
    <row r="121" spans="17:17" x14ac:dyDescent="0.2">
      <c r="Q121" s="2">
        <v>7</v>
      </c>
    </row>
    <row r="122" spans="17:17" x14ac:dyDescent="0.2">
      <c r="Q122" s="2">
        <v>7</v>
      </c>
    </row>
    <row r="123" spans="17:17" x14ac:dyDescent="0.2">
      <c r="Q123" s="2">
        <v>7</v>
      </c>
    </row>
    <row r="124" spans="17:17" x14ac:dyDescent="0.2">
      <c r="Q124" s="2">
        <v>7</v>
      </c>
    </row>
    <row r="125" spans="17:17" x14ac:dyDescent="0.2">
      <c r="Q125" s="2">
        <v>7</v>
      </c>
    </row>
    <row r="126" spans="17:17" x14ac:dyDescent="0.2">
      <c r="Q126" s="2">
        <v>7</v>
      </c>
    </row>
    <row r="127" spans="17:17" x14ac:dyDescent="0.2">
      <c r="Q127" s="2">
        <v>5</v>
      </c>
    </row>
    <row r="128" spans="17:17" x14ac:dyDescent="0.2">
      <c r="Q128" s="2">
        <v>7</v>
      </c>
    </row>
    <row r="129" spans="17:17" x14ac:dyDescent="0.2">
      <c r="Q129" s="2">
        <v>7</v>
      </c>
    </row>
    <row r="130" spans="17:17" x14ac:dyDescent="0.2">
      <c r="Q130" s="2">
        <v>7</v>
      </c>
    </row>
    <row r="131" spans="17:17" x14ac:dyDescent="0.2">
      <c r="Q131" s="2">
        <v>7</v>
      </c>
    </row>
    <row r="132" spans="17:17" x14ac:dyDescent="0.2">
      <c r="Q132" s="2">
        <v>7</v>
      </c>
    </row>
    <row r="133" spans="17:17" x14ac:dyDescent="0.2">
      <c r="Q133" s="2">
        <v>7</v>
      </c>
    </row>
    <row r="134" spans="17:17" x14ac:dyDescent="0.2">
      <c r="Q134" s="2">
        <v>7</v>
      </c>
    </row>
    <row r="135" spans="17:17" x14ac:dyDescent="0.2">
      <c r="Q135" s="2">
        <v>7</v>
      </c>
    </row>
    <row r="136" spans="17:17" x14ac:dyDescent="0.2">
      <c r="Q136" s="2">
        <v>7</v>
      </c>
    </row>
    <row r="137" spans="17:17" x14ac:dyDescent="0.2">
      <c r="Q137" s="2">
        <v>7</v>
      </c>
    </row>
    <row r="138" spans="17:17" x14ac:dyDescent="0.2">
      <c r="Q138" s="2">
        <v>7</v>
      </c>
    </row>
    <row r="139" spans="17:17" x14ac:dyDescent="0.2">
      <c r="Q139" s="2">
        <v>7</v>
      </c>
    </row>
    <row r="140" spans="17:17" x14ac:dyDescent="0.2">
      <c r="Q140" s="2">
        <v>7</v>
      </c>
    </row>
    <row r="141" spans="17:17" x14ac:dyDescent="0.2">
      <c r="Q141" s="2">
        <v>7</v>
      </c>
    </row>
    <row r="142" spans="17:17" x14ac:dyDescent="0.2">
      <c r="Q142" s="2">
        <v>7</v>
      </c>
    </row>
    <row r="143" spans="17:17" x14ac:dyDescent="0.2">
      <c r="Q143" s="2">
        <v>7</v>
      </c>
    </row>
    <row r="144" spans="17:17" x14ac:dyDescent="0.2">
      <c r="Q144" s="2">
        <v>7</v>
      </c>
    </row>
    <row r="145" spans="17:17" x14ac:dyDescent="0.2">
      <c r="Q145" s="2">
        <v>7</v>
      </c>
    </row>
    <row r="146" spans="17:17" x14ac:dyDescent="0.2">
      <c r="Q146" s="2">
        <v>7</v>
      </c>
    </row>
    <row r="147" spans="17:17" x14ac:dyDescent="0.2">
      <c r="Q147" s="2">
        <v>7</v>
      </c>
    </row>
    <row r="148" spans="17:17" x14ac:dyDescent="0.2">
      <c r="Q148" s="2">
        <v>7</v>
      </c>
    </row>
    <row r="149" spans="17:17" x14ac:dyDescent="0.2">
      <c r="Q149" s="2">
        <v>7</v>
      </c>
    </row>
    <row r="150" spans="17:17" x14ac:dyDescent="0.2">
      <c r="Q150" s="2">
        <v>7</v>
      </c>
    </row>
    <row r="151" spans="17:17" x14ac:dyDescent="0.2">
      <c r="Q151" s="2">
        <v>7</v>
      </c>
    </row>
    <row r="152" spans="17:17" x14ac:dyDescent="0.2">
      <c r="Q152" s="2">
        <v>7</v>
      </c>
    </row>
    <row r="153" spans="17:17" x14ac:dyDescent="0.2">
      <c r="Q153" s="2">
        <v>7</v>
      </c>
    </row>
    <row r="154" spans="17:17" x14ac:dyDescent="0.2">
      <c r="Q154" s="2">
        <v>7</v>
      </c>
    </row>
    <row r="155" spans="17:17" x14ac:dyDescent="0.2">
      <c r="Q155" s="2">
        <v>7</v>
      </c>
    </row>
    <row r="156" spans="17:17" x14ac:dyDescent="0.2">
      <c r="Q156" s="2">
        <v>7</v>
      </c>
    </row>
    <row r="157" spans="17:17" x14ac:dyDescent="0.2">
      <c r="Q157" s="2">
        <v>7</v>
      </c>
    </row>
    <row r="158" spans="17:17" x14ac:dyDescent="0.2">
      <c r="Q158" s="2">
        <v>7</v>
      </c>
    </row>
    <row r="159" spans="17:17" x14ac:dyDescent="0.2">
      <c r="Q159" s="2">
        <v>7</v>
      </c>
    </row>
    <row r="160" spans="17:17" x14ac:dyDescent="0.2">
      <c r="Q160" s="2">
        <v>7</v>
      </c>
    </row>
    <row r="161" spans="17:17" x14ac:dyDescent="0.2">
      <c r="Q161" s="2">
        <v>7</v>
      </c>
    </row>
    <row r="162" spans="17:17" x14ac:dyDescent="0.2">
      <c r="Q162" s="2">
        <v>7</v>
      </c>
    </row>
    <row r="163" spans="17:17" x14ac:dyDescent="0.2">
      <c r="Q163" s="2">
        <v>7</v>
      </c>
    </row>
    <row r="164" spans="17:17" x14ac:dyDescent="0.2">
      <c r="Q164" s="2">
        <v>7</v>
      </c>
    </row>
    <row r="165" spans="17:17" x14ac:dyDescent="0.2">
      <c r="Q165" s="2">
        <v>7</v>
      </c>
    </row>
    <row r="166" spans="17:17" x14ac:dyDescent="0.2">
      <c r="Q166" s="2">
        <v>7</v>
      </c>
    </row>
    <row r="167" spans="17:17" x14ac:dyDescent="0.2">
      <c r="Q167" s="2">
        <v>7</v>
      </c>
    </row>
    <row r="168" spans="17:17" x14ac:dyDescent="0.2">
      <c r="Q168" s="2">
        <v>7</v>
      </c>
    </row>
    <row r="169" spans="17:17" x14ac:dyDescent="0.2">
      <c r="Q169" s="2">
        <v>7</v>
      </c>
    </row>
    <row r="170" spans="17:17" x14ac:dyDescent="0.2">
      <c r="Q170" s="2">
        <v>7</v>
      </c>
    </row>
    <row r="171" spans="17:17" x14ac:dyDescent="0.2">
      <c r="Q171" s="2">
        <v>7</v>
      </c>
    </row>
    <row r="172" spans="17:17" x14ac:dyDescent="0.2">
      <c r="Q172" s="2">
        <v>7</v>
      </c>
    </row>
    <row r="173" spans="17:17" x14ac:dyDescent="0.2">
      <c r="Q173" s="2">
        <v>7</v>
      </c>
    </row>
    <row r="174" spans="17:17" x14ac:dyDescent="0.2">
      <c r="Q174" s="2">
        <v>7</v>
      </c>
    </row>
    <row r="175" spans="17:17" x14ac:dyDescent="0.2">
      <c r="Q175" s="2">
        <v>7</v>
      </c>
    </row>
    <row r="176" spans="17:17" x14ac:dyDescent="0.2">
      <c r="Q176" s="2">
        <v>7</v>
      </c>
    </row>
    <row r="177" spans="17:17" x14ac:dyDescent="0.2">
      <c r="Q177" s="2">
        <v>7</v>
      </c>
    </row>
    <row r="178" spans="17:17" x14ac:dyDescent="0.2">
      <c r="Q178" s="2">
        <v>7</v>
      </c>
    </row>
    <row r="179" spans="17:17" x14ac:dyDescent="0.2">
      <c r="Q179" s="2">
        <v>7</v>
      </c>
    </row>
    <row r="180" spans="17:17" x14ac:dyDescent="0.2">
      <c r="Q180" s="2">
        <v>7</v>
      </c>
    </row>
    <row r="181" spans="17:17" x14ac:dyDescent="0.2">
      <c r="Q181" s="2">
        <v>7</v>
      </c>
    </row>
    <row r="182" spans="17:17" x14ac:dyDescent="0.2">
      <c r="Q182" s="2">
        <v>7</v>
      </c>
    </row>
    <row r="183" spans="17:17" x14ac:dyDescent="0.2">
      <c r="Q183" s="2">
        <v>7</v>
      </c>
    </row>
    <row r="184" spans="17:17" x14ac:dyDescent="0.2">
      <c r="Q184" s="2">
        <v>7</v>
      </c>
    </row>
    <row r="185" spans="17:17" x14ac:dyDescent="0.2">
      <c r="Q185" s="2">
        <v>7</v>
      </c>
    </row>
    <row r="186" spans="17:17" x14ac:dyDescent="0.2">
      <c r="Q186" s="2">
        <v>7</v>
      </c>
    </row>
    <row r="187" spans="17:17" x14ac:dyDescent="0.2">
      <c r="Q187" s="2">
        <v>7</v>
      </c>
    </row>
    <row r="188" spans="17:17" x14ac:dyDescent="0.2">
      <c r="Q188" s="2">
        <v>7</v>
      </c>
    </row>
    <row r="189" spans="17:17" x14ac:dyDescent="0.2">
      <c r="Q189" s="2">
        <v>7</v>
      </c>
    </row>
    <row r="190" spans="17:17" x14ac:dyDescent="0.2">
      <c r="Q190" s="2">
        <v>7</v>
      </c>
    </row>
    <row r="191" spans="17:17" x14ac:dyDescent="0.2">
      <c r="Q191" s="2">
        <v>7</v>
      </c>
    </row>
    <row r="192" spans="17:17" x14ac:dyDescent="0.2">
      <c r="Q192" s="2">
        <v>7</v>
      </c>
    </row>
    <row r="193" spans="17:17" x14ac:dyDescent="0.2">
      <c r="Q193" s="2">
        <v>7</v>
      </c>
    </row>
    <row r="194" spans="17:17" x14ac:dyDescent="0.2">
      <c r="Q194" s="2" t="s">
        <v>93</v>
      </c>
    </row>
    <row r="195" spans="17:17" x14ac:dyDescent="0.2">
      <c r="Q195" s="2" t="s">
        <v>93</v>
      </c>
    </row>
    <row r="196" spans="17:17" x14ac:dyDescent="0.2">
      <c r="Q196" s="2">
        <v>7</v>
      </c>
    </row>
    <row r="197" spans="17:17" x14ac:dyDescent="0.2">
      <c r="Q197" s="2">
        <v>7</v>
      </c>
    </row>
    <row r="198" spans="17:17" x14ac:dyDescent="0.2">
      <c r="Q198" s="2">
        <v>7</v>
      </c>
    </row>
    <row r="199" spans="17:17" x14ac:dyDescent="0.2">
      <c r="Q199" s="2">
        <v>7</v>
      </c>
    </row>
    <row r="200" spans="17:17" x14ac:dyDescent="0.2">
      <c r="Q200" s="2">
        <v>6</v>
      </c>
    </row>
    <row r="201" spans="17:17" x14ac:dyDescent="0.2">
      <c r="Q201" s="2">
        <v>7</v>
      </c>
    </row>
    <row r="202" spans="17:17" x14ac:dyDescent="0.2">
      <c r="Q202" s="2">
        <v>7</v>
      </c>
    </row>
    <row r="203" spans="17:17" x14ac:dyDescent="0.2">
      <c r="Q203" s="2">
        <v>7</v>
      </c>
    </row>
    <row r="204" spans="17:17" x14ac:dyDescent="0.2">
      <c r="Q204" s="2">
        <v>7</v>
      </c>
    </row>
    <row r="205" spans="17:17" x14ac:dyDescent="0.2">
      <c r="Q205" s="2">
        <v>7</v>
      </c>
    </row>
    <row r="206" spans="17:17" x14ac:dyDescent="0.2">
      <c r="Q206" s="2">
        <v>7</v>
      </c>
    </row>
    <row r="207" spans="17:17" x14ac:dyDescent="0.2">
      <c r="Q207" s="2">
        <v>7</v>
      </c>
    </row>
    <row r="208" spans="17:17" x14ac:dyDescent="0.2">
      <c r="Q208" s="2">
        <v>7</v>
      </c>
    </row>
    <row r="209" spans="17:17" x14ac:dyDescent="0.2">
      <c r="Q209" s="2">
        <v>7</v>
      </c>
    </row>
    <row r="210" spans="17:17" x14ac:dyDescent="0.2">
      <c r="Q210" s="2">
        <v>7</v>
      </c>
    </row>
    <row r="211" spans="17:17" x14ac:dyDescent="0.2">
      <c r="Q211" s="2">
        <v>7</v>
      </c>
    </row>
    <row r="212" spans="17:17" x14ac:dyDescent="0.2">
      <c r="Q212" s="2">
        <v>7</v>
      </c>
    </row>
    <row r="213" spans="17:17" x14ac:dyDescent="0.2">
      <c r="Q213" s="2">
        <v>7</v>
      </c>
    </row>
    <row r="214" spans="17:17" x14ac:dyDescent="0.2">
      <c r="Q214" s="2">
        <v>6</v>
      </c>
    </row>
    <row r="215" spans="17:17" x14ac:dyDescent="0.2">
      <c r="Q215" s="2">
        <v>7</v>
      </c>
    </row>
    <row r="216" spans="17:17" x14ac:dyDescent="0.2">
      <c r="Q216" s="2">
        <v>7</v>
      </c>
    </row>
    <row r="217" spans="17:17" x14ac:dyDescent="0.2">
      <c r="Q217" s="2">
        <v>7</v>
      </c>
    </row>
    <row r="218" spans="17:17" x14ac:dyDescent="0.2">
      <c r="Q218" s="2">
        <v>7</v>
      </c>
    </row>
    <row r="219" spans="17:17" x14ac:dyDescent="0.2">
      <c r="Q219" s="2">
        <v>7</v>
      </c>
    </row>
    <row r="220" spans="17:17" x14ac:dyDescent="0.2">
      <c r="Q220" s="2">
        <v>7</v>
      </c>
    </row>
    <row r="221" spans="17:17" x14ac:dyDescent="0.2">
      <c r="Q221" s="2">
        <v>7</v>
      </c>
    </row>
    <row r="222" spans="17:17" x14ac:dyDescent="0.2">
      <c r="Q222" s="2">
        <v>7</v>
      </c>
    </row>
    <row r="223" spans="17:17" x14ac:dyDescent="0.2">
      <c r="Q223" s="2">
        <v>7</v>
      </c>
    </row>
    <row r="224" spans="17:17" x14ac:dyDescent="0.2">
      <c r="Q224" s="2">
        <v>7</v>
      </c>
    </row>
    <row r="225" spans="17:17" x14ac:dyDescent="0.2">
      <c r="Q225" s="2">
        <v>7</v>
      </c>
    </row>
    <row r="226" spans="17:17" x14ac:dyDescent="0.2">
      <c r="Q226" s="2">
        <v>7</v>
      </c>
    </row>
    <row r="227" spans="17:17" x14ac:dyDescent="0.2">
      <c r="Q227" s="2">
        <v>7</v>
      </c>
    </row>
    <row r="228" spans="17:17" x14ac:dyDescent="0.2">
      <c r="Q228" s="2">
        <v>7</v>
      </c>
    </row>
    <row r="229" spans="17:17" x14ac:dyDescent="0.2">
      <c r="Q229" s="2">
        <v>7</v>
      </c>
    </row>
    <row r="230" spans="17:17" x14ac:dyDescent="0.2">
      <c r="Q230" s="2">
        <v>7</v>
      </c>
    </row>
    <row r="231" spans="17:17" x14ac:dyDescent="0.2">
      <c r="Q231" s="2">
        <v>7</v>
      </c>
    </row>
    <row r="232" spans="17:17" x14ac:dyDescent="0.2">
      <c r="Q232" s="2">
        <v>7</v>
      </c>
    </row>
    <row r="233" spans="17:17" x14ac:dyDescent="0.2">
      <c r="Q233" s="2">
        <v>7</v>
      </c>
    </row>
    <row r="234" spans="17:17" x14ac:dyDescent="0.2">
      <c r="Q234" s="2">
        <v>7</v>
      </c>
    </row>
    <row r="235" spans="17:17" x14ac:dyDescent="0.2">
      <c r="Q235" s="2">
        <v>7</v>
      </c>
    </row>
    <row r="236" spans="17:17" x14ac:dyDescent="0.2">
      <c r="Q236" s="2" t="s">
        <v>93</v>
      </c>
    </row>
    <row r="237" spans="17:17" x14ac:dyDescent="0.2">
      <c r="Q237" s="2">
        <v>7</v>
      </c>
    </row>
    <row r="238" spans="17:17" x14ac:dyDescent="0.2">
      <c r="Q238" s="2">
        <v>7</v>
      </c>
    </row>
    <row r="239" spans="17:17" x14ac:dyDescent="0.2">
      <c r="Q239" s="2">
        <v>7</v>
      </c>
    </row>
    <row r="240" spans="17:17" x14ac:dyDescent="0.2">
      <c r="Q240" s="2">
        <v>7</v>
      </c>
    </row>
    <row r="241" spans="17:17" x14ac:dyDescent="0.2">
      <c r="Q241" s="2">
        <v>7</v>
      </c>
    </row>
    <row r="242" spans="17:17" x14ac:dyDescent="0.2">
      <c r="Q242" s="2">
        <v>7</v>
      </c>
    </row>
    <row r="243" spans="17:17" x14ac:dyDescent="0.2">
      <c r="Q243" s="2">
        <v>7</v>
      </c>
    </row>
    <row r="244" spans="17:17" x14ac:dyDescent="0.2">
      <c r="Q244" s="2">
        <v>7</v>
      </c>
    </row>
    <row r="245" spans="17:17" x14ac:dyDescent="0.2">
      <c r="Q245" s="2">
        <v>7</v>
      </c>
    </row>
    <row r="246" spans="17:17" x14ac:dyDescent="0.2">
      <c r="Q246" s="2">
        <v>7</v>
      </c>
    </row>
    <row r="247" spans="17:17" x14ac:dyDescent="0.2">
      <c r="Q247" s="2">
        <v>7</v>
      </c>
    </row>
    <row r="248" spans="17:17" x14ac:dyDescent="0.2">
      <c r="Q248" s="2">
        <v>7</v>
      </c>
    </row>
    <row r="249" spans="17:17" x14ac:dyDescent="0.2">
      <c r="Q249" s="2">
        <v>7</v>
      </c>
    </row>
    <row r="250" spans="17:17" x14ac:dyDescent="0.2">
      <c r="Q250" s="2">
        <v>7</v>
      </c>
    </row>
    <row r="251" spans="17:17" x14ac:dyDescent="0.2">
      <c r="Q251" s="2">
        <v>7</v>
      </c>
    </row>
    <row r="252" spans="17:17" x14ac:dyDescent="0.2">
      <c r="Q252" s="2">
        <v>7</v>
      </c>
    </row>
    <row r="253" spans="17:17" x14ac:dyDescent="0.2">
      <c r="Q253" s="2">
        <v>7</v>
      </c>
    </row>
    <row r="254" spans="17:17" x14ac:dyDescent="0.2">
      <c r="Q254" s="2">
        <v>7</v>
      </c>
    </row>
    <row r="255" spans="17:17" x14ac:dyDescent="0.2">
      <c r="Q255" s="2">
        <v>7</v>
      </c>
    </row>
    <row r="256" spans="17:17" x14ac:dyDescent="0.2">
      <c r="Q256" s="2">
        <v>7</v>
      </c>
    </row>
    <row r="257" spans="17:17" x14ac:dyDescent="0.2">
      <c r="Q257" s="2">
        <v>7</v>
      </c>
    </row>
    <row r="258" spans="17:17" x14ac:dyDescent="0.2">
      <c r="Q258" s="2">
        <v>7</v>
      </c>
    </row>
    <row r="259" spans="17:17" x14ac:dyDescent="0.2">
      <c r="Q259" s="2">
        <v>7</v>
      </c>
    </row>
    <row r="260" spans="17:17" x14ac:dyDescent="0.2">
      <c r="Q260" s="2">
        <v>7</v>
      </c>
    </row>
    <row r="261" spans="17:17" x14ac:dyDescent="0.2">
      <c r="Q261" s="2">
        <v>7</v>
      </c>
    </row>
    <row r="262" spans="17:17" x14ac:dyDescent="0.2">
      <c r="Q262" s="2">
        <v>7</v>
      </c>
    </row>
    <row r="263" spans="17:17" x14ac:dyDescent="0.2">
      <c r="Q263" s="2">
        <v>7</v>
      </c>
    </row>
    <row r="264" spans="17:17" x14ac:dyDescent="0.2">
      <c r="Q264" s="2">
        <v>7</v>
      </c>
    </row>
    <row r="265" spans="17:17" x14ac:dyDescent="0.2">
      <c r="Q265" s="2">
        <v>7</v>
      </c>
    </row>
    <row r="266" spans="17:17" x14ac:dyDescent="0.2">
      <c r="Q266" s="2">
        <v>7</v>
      </c>
    </row>
    <row r="267" spans="17:17" x14ac:dyDescent="0.2">
      <c r="Q267" s="2">
        <v>7</v>
      </c>
    </row>
    <row r="268" spans="17:17" x14ac:dyDescent="0.2">
      <c r="Q268" s="2">
        <v>7</v>
      </c>
    </row>
    <row r="269" spans="17:17" x14ac:dyDescent="0.2">
      <c r="Q269" s="2">
        <v>7</v>
      </c>
    </row>
    <row r="270" spans="17:17" x14ac:dyDescent="0.2">
      <c r="Q270" s="2">
        <v>7</v>
      </c>
    </row>
    <row r="271" spans="17:17" x14ac:dyDescent="0.2">
      <c r="Q271" s="2">
        <v>7</v>
      </c>
    </row>
    <row r="272" spans="17:17" x14ac:dyDescent="0.2">
      <c r="Q272" s="2">
        <v>7</v>
      </c>
    </row>
    <row r="273" spans="17:17" x14ac:dyDescent="0.2">
      <c r="Q273" s="2">
        <v>7</v>
      </c>
    </row>
    <row r="274" spans="17:17" x14ac:dyDescent="0.2">
      <c r="Q274" s="2">
        <v>7</v>
      </c>
    </row>
    <row r="275" spans="17:17" x14ac:dyDescent="0.2">
      <c r="Q275" s="2">
        <v>7</v>
      </c>
    </row>
    <row r="276" spans="17:17" x14ac:dyDescent="0.2">
      <c r="Q276" s="2">
        <v>7</v>
      </c>
    </row>
    <row r="277" spans="17:17" x14ac:dyDescent="0.2">
      <c r="Q277" s="2">
        <v>7</v>
      </c>
    </row>
    <row r="278" spans="17:17" x14ac:dyDescent="0.2">
      <c r="Q278" s="2">
        <v>7</v>
      </c>
    </row>
    <row r="279" spans="17:17" x14ac:dyDescent="0.2">
      <c r="Q279" s="2">
        <v>7</v>
      </c>
    </row>
    <row r="280" spans="17:17" x14ac:dyDescent="0.2">
      <c r="Q280" s="2">
        <v>7</v>
      </c>
    </row>
    <row r="281" spans="17:17" x14ac:dyDescent="0.2">
      <c r="Q281" s="2">
        <v>7</v>
      </c>
    </row>
    <row r="282" spans="17:17" x14ac:dyDescent="0.2">
      <c r="Q282" s="2">
        <v>7</v>
      </c>
    </row>
    <row r="283" spans="17:17" x14ac:dyDescent="0.2">
      <c r="Q283" s="2">
        <v>7</v>
      </c>
    </row>
    <row r="284" spans="17:17" x14ac:dyDescent="0.2">
      <c r="Q284" s="2">
        <v>7</v>
      </c>
    </row>
    <row r="285" spans="17:17" x14ac:dyDescent="0.2">
      <c r="Q285" s="2">
        <v>7</v>
      </c>
    </row>
    <row r="286" spans="17:17" x14ac:dyDescent="0.2">
      <c r="Q286" s="2">
        <v>7</v>
      </c>
    </row>
    <row r="287" spans="17:17" x14ac:dyDescent="0.2">
      <c r="Q287" s="2">
        <v>7</v>
      </c>
    </row>
    <row r="288" spans="17:17" x14ac:dyDescent="0.2">
      <c r="Q288" s="2">
        <v>7</v>
      </c>
    </row>
    <row r="289" spans="17:17" x14ac:dyDescent="0.2">
      <c r="Q289" s="2">
        <v>7</v>
      </c>
    </row>
    <row r="290" spans="17:17" x14ac:dyDescent="0.2">
      <c r="Q290" s="2">
        <v>7</v>
      </c>
    </row>
    <row r="291" spans="17:17" x14ac:dyDescent="0.2">
      <c r="Q291" s="2">
        <v>7</v>
      </c>
    </row>
    <row r="292" spans="17:17" x14ac:dyDescent="0.2">
      <c r="Q292" s="2">
        <v>7</v>
      </c>
    </row>
    <row r="293" spans="17:17" x14ac:dyDescent="0.2">
      <c r="Q293" s="2">
        <v>7</v>
      </c>
    </row>
    <row r="294" spans="17:17" x14ac:dyDescent="0.2">
      <c r="Q294" s="2">
        <v>7</v>
      </c>
    </row>
    <row r="295" spans="17:17" x14ac:dyDescent="0.2">
      <c r="Q295" s="2">
        <v>7</v>
      </c>
    </row>
    <row r="296" spans="17:17" x14ac:dyDescent="0.2">
      <c r="Q296" s="2">
        <v>7</v>
      </c>
    </row>
    <row r="297" spans="17:17" x14ac:dyDescent="0.2">
      <c r="Q297" s="2">
        <v>7</v>
      </c>
    </row>
    <row r="298" spans="17:17" x14ac:dyDescent="0.2">
      <c r="Q298" s="2">
        <v>7</v>
      </c>
    </row>
    <row r="299" spans="17:17" x14ac:dyDescent="0.2">
      <c r="Q299" s="2">
        <v>7</v>
      </c>
    </row>
    <row r="300" spans="17:17" x14ac:dyDescent="0.2">
      <c r="Q300" s="2">
        <v>7</v>
      </c>
    </row>
    <row r="301" spans="17:17" x14ac:dyDescent="0.2">
      <c r="Q301" s="2">
        <v>7</v>
      </c>
    </row>
    <row r="302" spans="17:17" x14ac:dyDescent="0.2">
      <c r="Q302" s="2">
        <v>7</v>
      </c>
    </row>
    <row r="303" spans="17:17" x14ac:dyDescent="0.2">
      <c r="Q303" s="2">
        <v>7</v>
      </c>
    </row>
    <row r="304" spans="17:17" x14ac:dyDescent="0.2">
      <c r="Q304" s="2">
        <v>7</v>
      </c>
    </row>
    <row r="305" spans="17:17" x14ac:dyDescent="0.2">
      <c r="Q305" s="2">
        <v>7</v>
      </c>
    </row>
    <row r="306" spans="17:17" x14ac:dyDescent="0.2">
      <c r="Q306" s="2">
        <v>7</v>
      </c>
    </row>
    <row r="307" spans="17:17" x14ac:dyDescent="0.2">
      <c r="Q307" s="2">
        <v>7</v>
      </c>
    </row>
    <row r="308" spans="17:17" x14ac:dyDescent="0.2">
      <c r="Q308" s="2">
        <v>7</v>
      </c>
    </row>
    <row r="309" spans="17:17" x14ac:dyDescent="0.2">
      <c r="Q309" s="2">
        <v>7</v>
      </c>
    </row>
    <row r="310" spans="17:17" x14ac:dyDescent="0.2">
      <c r="Q310" s="2">
        <v>7</v>
      </c>
    </row>
    <row r="311" spans="17:17" x14ac:dyDescent="0.2">
      <c r="Q311" s="2">
        <v>7</v>
      </c>
    </row>
    <row r="312" spans="17:17" x14ac:dyDescent="0.2">
      <c r="Q312" s="2">
        <v>7</v>
      </c>
    </row>
    <row r="313" spans="17:17" x14ac:dyDescent="0.2">
      <c r="Q313" s="2">
        <v>7</v>
      </c>
    </row>
    <row r="314" spans="17:17" x14ac:dyDescent="0.2">
      <c r="Q314" s="2">
        <v>7</v>
      </c>
    </row>
    <row r="315" spans="17:17" x14ac:dyDescent="0.2">
      <c r="Q315" s="2">
        <v>7</v>
      </c>
    </row>
    <row r="316" spans="17:17" x14ac:dyDescent="0.2">
      <c r="Q316" s="2">
        <v>7</v>
      </c>
    </row>
    <row r="317" spans="17:17" x14ac:dyDescent="0.2">
      <c r="Q317" s="2">
        <v>7</v>
      </c>
    </row>
    <row r="318" spans="17:17" x14ac:dyDescent="0.2">
      <c r="Q318" s="2">
        <v>7</v>
      </c>
    </row>
    <row r="319" spans="17:17" x14ac:dyDescent="0.2">
      <c r="Q319" s="2">
        <v>7</v>
      </c>
    </row>
    <row r="320" spans="17:17" x14ac:dyDescent="0.2">
      <c r="Q320" s="2">
        <v>7</v>
      </c>
    </row>
    <row r="321" spans="17:17" x14ac:dyDescent="0.2">
      <c r="Q321" s="2">
        <v>7</v>
      </c>
    </row>
    <row r="322" spans="17:17" x14ac:dyDescent="0.2">
      <c r="Q322" s="2">
        <v>7</v>
      </c>
    </row>
    <row r="323" spans="17:17" x14ac:dyDescent="0.2">
      <c r="Q323" s="2">
        <v>7</v>
      </c>
    </row>
    <row r="324" spans="17:17" x14ac:dyDescent="0.2">
      <c r="Q324" s="2">
        <v>7</v>
      </c>
    </row>
    <row r="325" spans="17:17" x14ac:dyDescent="0.2">
      <c r="Q325" s="2">
        <v>7</v>
      </c>
    </row>
    <row r="326" spans="17:17" x14ac:dyDescent="0.2">
      <c r="Q326" s="2">
        <v>7</v>
      </c>
    </row>
    <row r="327" spans="17:17" x14ac:dyDescent="0.2">
      <c r="Q327" s="2">
        <v>7</v>
      </c>
    </row>
    <row r="328" spans="17:17" x14ac:dyDescent="0.2">
      <c r="Q328" s="2">
        <v>7</v>
      </c>
    </row>
    <row r="329" spans="17:17" x14ac:dyDescent="0.2">
      <c r="Q329" s="2">
        <v>7</v>
      </c>
    </row>
    <row r="330" spans="17:17" x14ac:dyDescent="0.2">
      <c r="Q330" s="2">
        <v>7</v>
      </c>
    </row>
    <row r="331" spans="17:17" x14ac:dyDescent="0.2">
      <c r="Q331" s="2">
        <v>7</v>
      </c>
    </row>
    <row r="332" spans="17:17" x14ac:dyDescent="0.2">
      <c r="Q332" s="2">
        <v>7</v>
      </c>
    </row>
    <row r="333" spans="17:17" x14ac:dyDescent="0.2">
      <c r="Q333" s="2">
        <v>7</v>
      </c>
    </row>
    <row r="334" spans="17:17" x14ac:dyDescent="0.2">
      <c r="Q334" s="2">
        <v>7</v>
      </c>
    </row>
    <row r="335" spans="17:17" x14ac:dyDescent="0.2">
      <c r="Q335" s="2">
        <v>7</v>
      </c>
    </row>
    <row r="336" spans="17:17" x14ac:dyDescent="0.2">
      <c r="Q336" s="2">
        <v>7</v>
      </c>
    </row>
    <row r="337" spans="17:17" x14ac:dyDescent="0.2">
      <c r="Q337" s="2">
        <v>7</v>
      </c>
    </row>
    <row r="338" spans="17:17" x14ac:dyDescent="0.2">
      <c r="Q338" s="2">
        <v>7</v>
      </c>
    </row>
    <row r="339" spans="17:17" x14ac:dyDescent="0.2">
      <c r="Q339" s="2">
        <v>7</v>
      </c>
    </row>
    <row r="340" spans="17:17" x14ac:dyDescent="0.2">
      <c r="Q340" s="2">
        <v>7</v>
      </c>
    </row>
    <row r="341" spans="17:17" x14ac:dyDescent="0.2">
      <c r="Q341" s="2">
        <v>7</v>
      </c>
    </row>
    <row r="342" spans="17:17" x14ac:dyDescent="0.2">
      <c r="Q342" s="2">
        <v>7</v>
      </c>
    </row>
    <row r="343" spans="17:17" x14ac:dyDescent="0.2">
      <c r="Q343" s="2">
        <v>7</v>
      </c>
    </row>
    <row r="344" spans="17:17" x14ac:dyDescent="0.2">
      <c r="Q344" s="2">
        <v>7</v>
      </c>
    </row>
    <row r="345" spans="17:17" x14ac:dyDescent="0.2">
      <c r="Q345" s="2">
        <v>7</v>
      </c>
    </row>
    <row r="346" spans="17:17" x14ac:dyDescent="0.2">
      <c r="Q346" s="2">
        <v>7</v>
      </c>
    </row>
    <row r="347" spans="17:17" x14ac:dyDescent="0.2">
      <c r="Q347" s="2">
        <v>7</v>
      </c>
    </row>
    <row r="348" spans="17:17" x14ac:dyDescent="0.2">
      <c r="Q348" s="2">
        <v>7</v>
      </c>
    </row>
    <row r="349" spans="17:17" x14ac:dyDescent="0.2">
      <c r="Q349" s="2">
        <v>7</v>
      </c>
    </row>
    <row r="350" spans="17:17" x14ac:dyDescent="0.2">
      <c r="Q350" s="2">
        <v>7</v>
      </c>
    </row>
    <row r="351" spans="17:17" x14ac:dyDescent="0.2">
      <c r="Q351" s="2">
        <v>7</v>
      </c>
    </row>
    <row r="352" spans="17:17" x14ac:dyDescent="0.2">
      <c r="Q352" s="2">
        <v>7</v>
      </c>
    </row>
    <row r="353" spans="17:17" x14ac:dyDescent="0.2">
      <c r="Q353" s="2">
        <v>7</v>
      </c>
    </row>
    <row r="354" spans="17:17" x14ac:dyDescent="0.2">
      <c r="Q354" s="2">
        <v>7</v>
      </c>
    </row>
    <row r="355" spans="17:17" x14ac:dyDescent="0.2">
      <c r="Q355" s="2">
        <v>7</v>
      </c>
    </row>
    <row r="356" spans="17:17" x14ac:dyDescent="0.2">
      <c r="Q356" s="2">
        <v>7</v>
      </c>
    </row>
    <row r="357" spans="17:17" x14ac:dyDescent="0.2">
      <c r="Q357" s="2">
        <v>7</v>
      </c>
    </row>
    <row r="358" spans="17:17" x14ac:dyDescent="0.2">
      <c r="Q358" s="2">
        <v>7</v>
      </c>
    </row>
    <row r="359" spans="17:17" x14ac:dyDescent="0.2">
      <c r="Q359" s="2">
        <v>7</v>
      </c>
    </row>
    <row r="360" spans="17:17" x14ac:dyDescent="0.2">
      <c r="Q360" s="2">
        <v>7</v>
      </c>
    </row>
    <row r="361" spans="17:17" x14ac:dyDescent="0.2">
      <c r="Q361" s="2">
        <v>7</v>
      </c>
    </row>
    <row r="362" spans="17:17" x14ac:dyDescent="0.2">
      <c r="Q362" s="2">
        <v>7</v>
      </c>
    </row>
    <row r="363" spans="17:17" x14ac:dyDescent="0.2">
      <c r="Q363" s="2">
        <v>7</v>
      </c>
    </row>
    <row r="364" spans="17:17" x14ac:dyDescent="0.2">
      <c r="Q364" s="2">
        <v>7</v>
      </c>
    </row>
    <row r="365" spans="17:17" x14ac:dyDescent="0.2">
      <c r="Q365" s="2">
        <v>7</v>
      </c>
    </row>
    <row r="366" spans="17:17" x14ac:dyDescent="0.2">
      <c r="Q366" s="2">
        <v>7</v>
      </c>
    </row>
    <row r="367" spans="17:17" x14ac:dyDescent="0.2">
      <c r="Q367" s="2">
        <v>7</v>
      </c>
    </row>
    <row r="368" spans="17:17" x14ac:dyDescent="0.2">
      <c r="Q368" s="2">
        <v>7</v>
      </c>
    </row>
    <row r="369" spans="17:17" x14ac:dyDescent="0.2">
      <c r="Q369" s="2">
        <v>7</v>
      </c>
    </row>
    <row r="370" spans="17:17" x14ac:dyDescent="0.2">
      <c r="Q370" s="2">
        <v>7</v>
      </c>
    </row>
    <row r="371" spans="17:17" x14ac:dyDescent="0.2">
      <c r="Q371" s="2">
        <v>7</v>
      </c>
    </row>
    <row r="372" spans="17:17" x14ac:dyDescent="0.2">
      <c r="Q372" s="2">
        <v>7</v>
      </c>
    </row>
    <row r="373" spans="17:17" x14ac:dyDescent="0.2">
      <c r="Q373" s="2">
        <v>7</v>
      </c>
    </row>
    <row r="374" spans="17:17" x14ac:dyDescent="0.2">
      <c r="Q374" s="2">
        <v>7</v>
      </c>
    </row>
    <row r="375" spans="17:17" x14ac:dyDescent="0.2">
      <c r="Q375" s="2">
        <v>7</v>
      </c>
    </row>
    <row r="376" spans="17:17" x14ac:dyDescent="0.2">
      <c r="Q376" s="2">
        <v>7</v>
      </c>
    </row>
    <row r="377" spans="17:17" x14ac:dyDescent="0.2">
      <c r="Q377" s="2">
        <v>7</v>
      </c>
    </row>
    <row r="378" spans="17:17" x14ac:dyDescent="0.2">
      <c r="Q378" s="2">
        <v>7</v>
      </c>
    </row>
    <row r="379" spans="17:17" x14ac:dyDescent="0.2">
      <c r="Q379" s="2">
        <v>7</v>
      </c>
    </row>
    <row r="380" spans="17:17" x14ac:dyDescent="0.2">
      <c r="Q380" s="2">
        <v>7</v>
      </c>
    </row>
    <row r="381" spans="17:17" x14ac:dyDescent="0.2">
      <c r="Q381" s="2">
        <v>7</v>
      </c>
    </row>
    <row r="382" spans="17:17" x14ac:dyDescent="0.2">
      <c r="Q382" s="2">
        <v>7</v>
      </c>
    </row>
    <row r="383" spans="17:17" x14ac:dyDescent="0.2">
      <c r="Q383" s="2">
        <v>7</v>
      </c>
    </row>
    <row r="384" spans="17:17" x14ac:dyDescent="0.2">
      <c r="Q384" s="2">
        <v>7</v>
      </c>
    </row>
    <row r="385" spans="17:17" x14ac:dyDescent="0.2">
      <c r="Q385" s="2">
        <v>7</v>
      </c>
    </row>
    <row r="386" spans="17:17" x14ac:dyDescent="0.2">
      <c r="Q386" s="2">
        <v>7</v>
      </c>
    </row>
    <row r="387" spans="17:17" x14ac:dyDescent="0.2">
      <c r="Q387" s="2">
        <v>7</v>
      </c>
    </row>
    <row r="388" spans="17:17" x14ac:dyDescent="0.2">
      <c r="Q388" s="2">
        <v>7</v>
      </c>
    </row>
    <row r="389" spans="17:17" x14ac:dyDescent="0.2">
      <c r="Q389" s="2">
        <v>7</v>
      </c>
    </row>
    <row r="390" spans="17:17" x14ac:dyDescent="0.2">
      <c r="Q390" s="2">
        <v>7</v>
      </c>
    </row>
    <row r="391" spans="17:17" x14ac:dyDescent="0.2">
      <c r="Q391" s="2">
        <v>7</v>
      </c>
    </row>
    <row r="392" spans="17:17" x14ac:dyDescent="0.2">
      <c r="Q392" s="2">
        <v>7</v>
      </c>
    </row>
    <row r="393" spans="17:17" x14ac:dyDescent="0.2">
      <c r="Q393" s="2">
        <v>7</v>
      </c>
    </row>
    <row r="394" spans="17:17" x14ac:dyDescent="0.2">
      <c r="Q394" s="2">
        <v>7</v>
      </c>
    </row>
    <row r="395" spans="17:17" x14ac:dyDescent="0.2">
      <c r="Q395" s="2">
        <v>7</v>
      </c>
    </row>
    <row r="396" spans="17:17" x14ac:dyDescent="0.2">
      <c r="Q396" s="2">
        <v>7</v>
      </c>
    </row>
    <row r="397" spans="17:17" x14ac:dyDescent="0.2">
      <c r="Q397" s="2">
        <v>7</v>
      </c>
    </row>
    <row r="398" spans="17:17" x14ac:dyDescent="0.2">
      <c r="Q398" s="2">
        <v>7</v>
      </c>
    </row>
    <row r="399" spans="17:17" x14ac:dyDescent="0.2">
      <c r="Q399" s="2">
        <v>7</v>
      </c>
    </row>
    <row r="400" spans="17:17" x14ac:dyDescent="0.2">
      <c r="Q400" s="2">
        <v>7</v>
      </c>
    </row>
    <row r="401" spans="17:17" x14ac:dyDescent="0.2">
      <c r="Q401" s="2">
        <v>7</v>
      </c>
    </row>
    <row r="402" spans="17:17" x14ac:dyDescent="0.2">
      <c r="Q402" s="2">
        <v>7</v>
      </c>
    </row>
    <row r="403" spans="17:17" x14ac:dyDescent="0.2">
      <c r="Q403" s="2">
        <v>7</v>
      </c>
    </row>
    <row r="404" spans="17:17" x14ac:dyDescent="0.2">
      <c r="Q404" s="2">
        <v>7</v>
      </c>
    </row>
    <row r="405" spans="17:17" x14ac:dyDescent="0.2">
      <c r="Q405" s="2">
        <v>7</v>
      </c>
    </row>
    <row r="406" spans="17:17" x14ac:dyDescent="0.2">
      <c r="Q406" s="2">
        <v>7</v>
      </c>
    </row>
    <row r="407" spans="17:17" x14ac:dyDescent="0.2">
      <c r="Q407" s="2">
        <v>7</v>
      </c>
    </row>
    <row r="408" spans="17:17" x14ac:dyDescent="0.2">
      <c r="Q408" s="2">
        <v>7</v>
      </c>
    </row>
    <row r="409" spans="17:17" x14ac:dyDescent="0.2">
      <c r="Q409" s="2">
        <v>7</v>
      </c>
    </row>
    <row r="410" spans="17:17" x14ac:dyDescent="0.2">
      <c r="Q410" s="2">
        <v>7</v>
      </c>
    </row>
    <row r="411" spans="17:17" x14ac:dyDescent="0.2">
      <c r="Q411" s="2">
        <v>7</v>
      </c>
    </row>
    <row r="412" spans="17:17" x14ac:dyDescent="0.2">
      <c r="Q412" s="2">
        <v>7</v>
      </c>
    </row>
    <row r="413" spans="17:17" x14ac:dyDescent="0.2">
      <c r="Q413" s="2">
        <v>7</v>
      </c>
    </row>
    <row r="414" spans="17:17" x14ac:dyDescent="0.2">
      <c r="Q414" s="2">
        <v>7</v>
      </c>
    </row>
    <row r="415" spans="17:17" x14ac:dyDescent="0.2">
      <c r="Q415" s="2">
        <v>7</v>
      </c>
    </row>
    <row r="416" spans="17:17" x14ac:dyDescent="0.2">
      <c r="Q416" s="2">
        <v>7</v>
      </c>
    </row>
    <row r="417" spans="17:17" x14ac:dyDescent="0.2">
      <c r="Q417" s="2">
        <v>7</v>
      </c>
    </row>
    <row r="418" spans="17:17" x14ac:dyDescent="0.2">
      <c r="Q418" s="2">
        <v>7</v>
      </c>
    </row>
    <row r="419" spans="17:17" x14ac:dyDescent="0.2">
      <c r="Q419" s="2">
        <v>7</v>
      </c>
    </row>
    <row r="420" spans="17:17" x14ac:dyDescent="0.2">
      <c r="Q420" s="2">
        <v>7</v>
      </c>
    </row>
    <row r="421" spans="17:17" x14ac:dyDescent="0.2">
      <c r="Q421" s="2">
        <v>7</v>
      </c>
    </row>
    <row r="422" spans="17:17" x14ac:dyDescent="0.2">
      <c r="Q422" s="2">
        <v>7</v>
      </c>
    </row>
    <row r="423" spans="17:17" x14ac:dyDescent="0.2">
      <c r="Q423" s="2">
        <v>7</v>
      </c>
    </row>
    <row r="424" spans="17:17" x14ac:dyDescent="0.2">
      <c r="Q424" s="2" t="s">
        <v>93</v>
      </c>
    </row>
    <row r="425" spans="17:17" x14ac:dyDescent="0.2">
      <c r="Q425" s="2">
        <v>7</v>
      </c>
    </row>
    <row r="426" spans="17:17" x14ac:dyDescent="0.2">
      <c r="Q426" s="2">
        <v>7</v>
      </c>
    </row>
    <row r="427" spans="17:17" x14ac:dyDescent="0.2">
      <c r="Q427" s="2">
        <v>7</v>
      </c>
    </row>
    <row r="428" spans="17:17" x14ac:dyDescent="0.2">
      <c r="Q428" s="2">
        <v>7</v>
      </c>
    </row>
    <row r="429" spans="17:17" x14ac:dyDescent="0.2">
      <c r="Q429" s="2">
        <v>7</v>
      </c>
    </row>
    <row r="430" spans="17:17" x14ac:dyDescent="0.2">
      <c r="Q430" s="2">
        <v>7</v>
      </c>
    </row>
    <row r="431" spans="17:17" x14ac:dyDescent="0.2">
      <c r="Q431" s="2">
        <v>7</v>
      </c>
    </row>
    <row r="432" spans="17:17" x14ac:dyDescent="0.2">
      <c r="Q432" s="2">
        <v>7</v>
      </c>
    </row>
    <row r="433" spans="17:17" x14ac:dyDescent="0.2">
      <c r="Q433" s="2">
        <v>7</v>
      </c>
    </row>
    <row r="434" spans="17:17" x14ac:dyDescent="0.2">
      <c r="Q434" s="2">
        <v>7</v>
      </c>
    </row>
    <row r="435" spans="17:17" x14ac:dyDescent="0.2">
      <c r="Q435" s="2">
        <v>7</v>
      </c>
    </row>
    <row r="436" spans="17:17" x14ac:dyDescent="0.2">
      <c r="Q436" s="2">
        <v>7</v>
      </c>
    </row>
    <row r="437" spans="17:17" x14ac:dyDescent="0.2">
      <c r="Q437" s="2">
        <v>7</v>
      </c>
    </row>
    <row r="438" spans="17:17" x14ac:dyDescent="0.2">
      <c r="Q438" s="2">
        <v>7</v>
      </c>
    </row>
    <row r="439" spans="17:17" x14ac:dyDescent="0.2">
      <c r="Q439" s="2">
        <v>7</v>
      </c>
    </row>
    <row r="440" spans="17:17" x14ac:dyDescent="0.2">
      <c r="Q440" s="2">
        <v>7</v>
      </c>
    </row>
    <row r="441" spans="17:17" x14ac:dyDescent="0.2">
      <c r="Q441" s="2">
        <v>7</v>
      </c>
    </row>
    <row r="442" spans="17:17" x14ac:dyDescent="0.2">
      <c r="Q442" s="2">
        <v>7</v>
      </c>
    </row>
    <row r="443" spans="17:17" x14ac:dyDescent="0.2">
      <c r="Q443" s="2">
        <v>7</v>
      </c>
    </row>
    <row r="444" spans="17:17" x14ac:dyDescent="0.2">
      <c r="Q444" s="2">
        <v>7</v>
      </c>
    </row>
    <row r="445" spans="17:17" x14ac:dyDescent="0.2">
      <c r="Q445" s="2">
        <v>7</v>
      </c>
    </row>
    <row r="446" spans="17:17" x14ac:dyDescent="0.2">
      <c r="Q446" s="2">
        <v>7</v>
      </c>
    </row>
    <row r="447" spans="17:17" x14ac:dyDescent="0.2">
      <c r="Q447" s="2">
        <v>7</v>
      </c>
    </row>
    <row r="448" spans="17:17" x14ac:dyDescent="0.2">
      <c r="Q448" s="2">
        <v>7</v>
      </c>
    </row>
    <row r="449" spans="17:17" x14ac:dyDescent="0.2">
      <c r="Q449" s="2">
        <v>7</v>
      </c>
    </row>
    <row r="450" spans="17:17" x14ac:dyDescent="0.2">
      <c r="Q450" s="2">
        <v>7</v>
      </c>
    </row>
    <row r="451" spans="17:17" x14ac:dyDescent="0.2">
      <c r="Q451" s="2">
        <v>7</v>
      </c>
    </row>
    <row r="452" spans="17:17" x14ac:dyDescent="0.2">
      <c r="Q452" s="2">
        <v>7</v>
      </c>
    </row>
    <row r="453" spans="17:17" x14ac:dyDescent="0.2">
      <c r="Q453" s="2">
        <v>7</v>
      </c>
    </row>
    <row r="454" spans="17:17" x14ac:dyDescent="0.2">
      <c r="Q454" s="2">
        <v>7</v>
      </c>
    </row>
    <row r="455" spans="17:17" x14ac:dyDescent="0.2">
      <c r="Q455" s="2">
        <v>7</v>
      </c>
    </row>
    <row r="456" spans="17:17" x14ac:dyDescent="0.2">
      <c r="Q456" s="2">
        <v>7</v>
      </c>
    </row>
    <row r="457" spans="17:17" x14ac:dyDescent="0.2">
      <c r="Q457" s="2">
        <v>7</v>
      </c>
    </row>
    <row r="458" spans="17:17" x14ac:dyDescent="0.2">
      <c r="Q458" s="2">
        <v>7</v>
      </c>
    </row>
    <row r="459" spans="17:17" x14ac:dyDescent="0.2">
      <c r="Q459" s="2">
        <v>7</v>
      </c>
    </row>
    <row r="460" spans="17:17" x14ac:dyDescent="0.2">
      <c r="Q460" s="2">
        <v>7</v>
      </c>
    </row>
    <row r="461" spans="17:17" x14ac:dyDescent="0.2">
      <c r="Q461" s="2">
        <v>7</v>
      </c>
    </row>
    <row r="462" spans="17:17" x14ac:dyDescent="0.2">
      <c r="Q462" s="2">
        <v>7</v>
      </c>
    </row>
    <row r="463" spans="17:17" x14ac:dyDescent="0.2">
      <c r="Q463" s="2">
        <v>7</v>
      </c>
    </row>
    <row r="464" spans="17:17" x14ac:dyDescent="0.2">
      <c r="Q464" s="2">
        <v>7</v>
      </c>
    </row>
    <row r="465" spans="17:17" x14ac:dyDescent="0.2">
      <c r="Q465" s="2">
        <v>7</v>
      </c>
    </row>
    <row r="466" spans="17:17" x14ac:dyDescent="0.2">
      <c r="Q466" s="2">
        <v>7</v>
      </c>
    </row>
    <row r="467" spans="17:17" x14ac:dyDescent="0.2">
      <c r="Q467" s="2">
        <v>7</v>
      </c>
    </row>
    <row r="468" spans="17:17" x14ac:dyDescent="0.2">
      <c r="Q468" s="2">
        <v>7</v>
      </c>
    </row>
    <row r="469" spans="17:17" x14ac:dyDescent="0.2">
      <c r="Q469" s="2">
        <v>7</v>
      </c>
    </row>
    <row r="470" spans="17:17" x14ac:dyDescent="0.2">
      <c r="Q470" s="2">
        <v>7</v>
      </c>
    </row>
    <row r="471" spans="17:17" x14ac:dyDescent="0.2">
      <c r="Q471" s="2">
        <v>7</v>
      </c>
    </row>
    <row r="472" spans="17:17" x14ac:dyDescent="0.2">
      <c r="Q472" s="2">
        <v>7</v>
      </c>
    </row>
    <row r="473" spans="17:17" x14ac:dyDescent="0.2">
      <c r="Q473" s="2">
        <v>7</v>
      </c>
    </row>
    <row r="474" spans="17:17" x14ac:dyDescent="0.2">
      <c r="Q474" s="2">
        <v>7</v>
      </c>
    </row>
    <row r="475" spans="17:17" x14ac:dyDescent="0.2">
      <c r="Q475" s="2">
        <v>7</v>
      </c>
    </row>
    <row r="476" spans="17:17" x14ac:dyDescent="0.2">
      <c r="Q476" s="2">
        <v>7</v>
      </c>
    </row>
    <row r="477" spans="17:17" x14ac:dyDescent="0.2">
      <c r="Q477" s="2">
        <v>7</v>
      </c>
    </row>
    <row r="478" spans="17:17" x14ac:dyDescent="0.2">
      <c r="Q478" s="2">
        <v>7</v>
      </c>
    </row>
    <row r="479" spans="17:17" x14ac:dyDescent="0.2">
      <c r="Q479" s="2">
        <v>7</v>
      </c>
    </row>
    <row r="480" spans="17:17" x14ac:dyDescent="0.2">
      <c r="Q480" s="2">
        <v>7</v>
      </c>
    </row>
    <row r="481" spans="17:17" x14ac:dyDescent="0.2">
      <c r="Q481" s="2">
        <v>7</v>
      </c>
    </row>
    <row r="482" spans="17:17" x14ac:dyDescent="0.2">
      <c r="Q482" s="2">
        <v>7</v>
      </c>
    </row>
    <row r="483" spans="17:17" x14ac:dyDescent="0.2">
      <c r="Q483" s="2">
        <v>7</v>
      </c>
    </row>
    <row r="484" spans="17:17" x14ac:dyDescent="0.2">
      <c r="Q484" s="2">
        <v>7</v>
      </c>
    </row>
    <row r="485" spans="17:17" x14ac:dyDescent="0.2">
      <c r="Q485" s="2">
        <v>7</v>
      </c>
    </row>
    <row r="486" spans="17:17" x14ac:dyDescent="0.2">
      <c r="Q486" s="2">
        <v>7</v>
      </c>
    </row>
    <row r="487" spans="17:17" x14ac:dyDescent="0.2">
      <c r="Q487" s="2">
        <v>7</v>
      </c>
    </row>
    <row r="488" spans="17:17" x14ac:dyDescent="0.2">
      <c r="Q488" s="2">
        <v>7</v>
      </c>
    </row>
    <row r="489" spans="17:17" x14ac:dyDescent="0.2">
      <c r="Q489" s="2">
        <v>7</v>
      </c>
    </row>
    <row r="490" spans="17:17" x14ac:dyDescent="0.2">
      <c r="Q490" s="2">
        <v>7</v>
      </c>
    </row>
    <row r="491" spans="17:17" x14ac:dyDescent="0.2">
      <c r="Q491" s="2">
        <v>7</v>
      </c>
    </row>
    <row r="492" spans="17:17" x14ac:dyDescent="0.2">
      <c r="Q492" s="2">
        <v>7</v>
      </c>
    </row>
    <row r="493" spans="17:17" x14ac:dyDescent="0.2">
      <c r="Q493" s="2">
        <v>7</v>
      </c>
    </row>
    <row r="494" spans="17:17" x14ac:dyDescent="0.2">
      <c r="Q494" s="2" t="s">
        <v>93</v>
      </c>
    </row>
    <row r="495" spans="17:17" x14ac:dyDescent="0.2">
      <c r="Q495" s="2">
        <v>7</v>
      </c>
    </row>
    <row r="496" spans="17:17" x14ac:dyDescent="0.2">
      <c r="Q496" s="2">
        <v>7</v>
      </c>
    </row>
    <row r="497" spans="17:17" x14ac:dyDescent="0.2">
      <c r="Q497" s="2">
        <v>7</v>
      </c>
    </row>
    <row r="498" spans="17:17" x14ac:dyDescent="0.2">
      <c r="Q498" s="2">
        <v>7</v>
      </c>
    </row>
    <row r="499" spans="17:17" x14ac:dyDescent="0.2">
      <c r="Q499" s="2">
        <v>7</v>
      </c>
    </row>
    <row r="500" spans="17:17" x14ac:dyDescent="0.2">
      <c r="Q500" s="2">
        <v>7</v>
      </c>
    </row>
    <row r="501" spans="17:17" x14ac:dyDescent="0.2">
      <c r="Q501" s="2">
        <v>7</v>
      </c>
    </row>
    <row r="502" spans="17:17" x14ac:dyDescent="0.2">
      <c r="Q502" s="2">
        <v>7</v>
      </c>
    </row>
    <row r="503" spans="17:17" x14ac:dyDescent="0.2">
      <c r="Q503" s="2">
        <v>7</v>
      </c>
    </row>
    <row r="504" spans="17:17" x14ac:dyDescent="0.2">
      <c r="Q504" s="2">
        <v>7</v>
      </c>
    </row>
    <row r="505" spans="17:17" x14ac:dyDescent="0.2">
      <c r="Q505" s="2">
        <v>7</v>
      </c>
    </row>
    <row r="506" spans="17:17" x14ac:dyDescent="0.2">
      <c r="Q506" s="2">
        <v>7</v>
      </c>
    </row>
    <row r="507" spans="17:17" x14ac:dyDescent="0.2">
      <c r="Q507" s="2">
        <v>7</v>
      </c>
    </row>
    <row r="508" spans="17:17" x14ac:dyDescent="0.2">
      <c r="Q508" s="2" t="s">
        <v>93</v>
      </c>
    </row>
    <row r="509" spans="17:17" x14ac:dyDescent="0.2">
      <c r="Q509" s="2">
        <v>7</v>
      </c>
    </row>
    <row r="510" spans="17:17" x14ac:dyDescent="0.2">
      <c r="Q510" s="2">
        <v>7</v>
      </c>
    </row>
    <row r="511" spans="17:17" x14ac:dyDescent="0.2">
      <c r="Q511" s="2">
        <v>7</v>
      </c>
    </row>
    <row r="512" spans="17:17" x14ac:dyDescent="0.2">
      <c r="Q512" s="2">
        <v>7</v>
      </c>
    </row>
    <row r="513" spans="17:17" x14ac:dyDescent="0.2">
      <c r="Q513" s="2">
        <v>7</v>
      </c>
    </row>
    <row r="514" spans="17:17" x14ac:dyDescent="0.2">
      <c r="Q514" s="2">
        <v>7</v>
      </c>
    </row>
    <row r="515" spans="17:17" x14ac:dyDescent="0.2">
      <c r="Q515" s="2">
        <v>7</v>
      </c>
    </row>
    <row r="516" spans="17:17" x14ac:dyDescent="0.2">
      <c r="Q516" s="2">
        <v>7</v>
      </c>
    </row>
    <row r="517" spans="17:17" x14ac:dyDescent="0.2">
      <c r="Q517" s="2">
        <v>7</v>
      </c>
    </row>
    <row r="518" spans="17:17" x14ac:dyDescent="0.2">
      <c r="Q518" s="2">
        <v>7</v>
      </c>
    </row>
    <row r="519" spans="17:17" x14ac:dyDescent="0.2">
      <c r="Q519" s="2">
        <v>7</v>
      </c>
    </row>
    <row r="520" spans="17:17" x14ac:dyDescent="0.2">
      <c r="Q520" s="2">
        <v>7</v>
      </c>
    </row>
    <row r="521" spans="17:17" x14ac:dyDescent="0.2">
      <c r="Q521" s="2">
        <v>7</v>
      </c>
    </row>
    <row r="522" spans="17:17" x14ac:dyDescent="0.2">
      <c r="Q522" s="2">
        <v>7</v>
      </c>
    </row>
    <row r="523" spans="17:17" x14ac:dyDescent="0.2">
      <c r="Q523" s="2">
        <v>7</v>
      </c>
    </row>
    <row r="524" spans="17:17" x14ac:dyDescent="0.2">
      <c r="Q524" s="2">
        <v>7</v>
      </c>
    </row>
    <row r="525" spans="17:17" x14ac:dyDescent="0.2">
      <c r="Q525" s="2">
        <v>7</v>
      </c>
    </row>
    <row r="526" spans="17:17" x14ac:dyDescent="0.2">
      <c r="Q526" s="2">
        <v>7</v>
      </c>
    </row>
    <row r="527" spans="17:17" x14ac:dyDescent="0.2">
      <c r="Q527" s="2">
        <v>7</v>
      </c>
    </row>
    <row r="528" spans="17:17" x14ac:dyDescent="0.2">
      <c r="Q528" s="2">
        <v>7</v>
      </c>
    </row>
    <row r="529" spans="17:17" x14ac:dyDescent="0.2">
      <c r="Q529" s="2">
        <v>7</v>
      </c>
    </row>
    <row r="530" spans="17:17" x14ac:dyDescent="0.2">
      <c r="Q530" s="2">
        <v>7</v>
      </c>
    </row>
    <row r="531" spans="17:17" x14ac:dyDescent="0.2">
      <c r="Q531" s="2">
        <v>7</v>
      </c>
    </row>
    <row r="532" spans="17:17" x14ac:dyDescent="0.2">
      <c r="Q532" s="2">
        <v>7</v>
      </c>
    </row>
    <row r="533" spans="17:17" x14ac:dyDescent="0.2">
      <c r="Q533" s="2">
        <v>7</v>
      </c>
    </row>
    <row r="534" spans="17:17" x14ac:dyDescent="0.2">
      <c r="Q534" s="2">
        <v>7</v>
      </c>
    </row>
    <row r="535" spans="17:17" x14ac:dyDescent="0.2">
      <c r="Q535" s="2">
        <v>7</v>
      </c>
    </row>
    <row r="536" spans="17:17" x14ac:dyDescent="0.2">
      <c r="Q536" s="2">
        <v>7</v>
      </c>
    </row>
    <row r="537" spans="17:17" x14ac:dyDescent="0.2">
      <c r="Q537" s="2">
        <v>7</v>
      </c>
    </row>
    <row r="538" spans="17:17" x14ac:dyDescent="0.2">
      <c r="Q538" s="2">
        <v>7</v>
      </c>
    </row>
    <row r="539" spans="17:17" x14ac:dyDescent="0.2">
      <c r="Q539" s="2">
        <v>7</v>
      </c>
    </row>
    <row r="540" spans="17:17" x14ac:dyDescent="0.2">
      <c r="Q540" s="2">
        <v>7</v>
      </c>
    </row>
    <row r="541" spans="17:17" x14ac:dyDescent="0.2">
      <c r="Q541" s="2">
        <v>7</v>
      </c>
    </row>
    <row r="542" spans="17:17" x14ac:dyDescent="0.2">
      <c r="Q542" s="2">
        <v>7</v>
      </c>
    </row>
    <row r="543" spans="17:17" x14ac:dyDescent="0.2">
      <c r="Q543" s="2">
        <v>7</v>
      </c>
    </row>
    <row r="544" spans="17:17" x14ac:dyDescent="0.2">
      <c r="Q544" s="2">
        <v>7</v>
      </c>
    </row>
    <row r="545" spans="17:17" x14ac:dyDescent="0.2">
      <c r="Q545" s="2">
        <v>7</v>
      </c>
    </row>
    <row r="546" spans="17:17" x14ac:dyDescent="0.2">
      <c r="Q546" s="2">
        <v>7</v>
      </c>
    </row>
    <row r="547" spans="17:17" x14ac:dyDescent="0.2">
      <c r="Q547" s="2">
        <v>7</v>
      </c>
    </row>
    <row r="548" spans="17:17" x14ac:dyDescent="0.2">
      <c r="Q548" s="2">
        <v>7</v>
      </c>
    </row>
    <row r="549" spans="17:17" x14ac:dyDescent="0.2">
      <c r="Q549" s="2">
        <v>7</v>
      </c>
    </row>
    <row r="550" spans="17:17" x14ac:dyDescent="0.2">
      <c r="Q550" s="2">
        <v>7</v>
      </c>
    </row>
    <row r="551" spans="17:17" x14ac:dyDescent="0.2">
      <c r="Q551" s="2">
        <v>7</v>
      </c>
    </row>
    <row r="552" spans="17:17" x14ac:dyDescent="0.2">
      <c r="Q552" s="2">
        <v>7</v>
      </c>
    </row>
    <row r="553" spans="17:17" x14ac:dyDescent="0.2">
      <c r="Q553" s="2">
        <v>7</v>
      </c>
    </row>
    <row r="554" spans="17:17" x14ac:dyDescent="0.2">
      <c r="Q554" s="2">
        <v>7</v>
      </c>
    </row>
    <row r="555" spans="17:17" x14ac:dyDescent="0.2">
      <c r="Q555" s="2">
        <v>7</v>
      </c>
    </row>
    <row r="556" spans="17:17" x14ac:dyDescent="0.2">
      <c r="Q556" s="2">
        <v>7</v>
      </c>
    </row>
    <row r="557" spans="17:17" x14ac:dyDescent="0.2">
      <c r="Q557" s="2">
        <v>7</v>
      </c>
    </row>
    <row r="558" spans="17:17" x14ac:dyDescent="0.2">
      <c r="Q558" s="2">
        <v>7</v>
      </c>
    </row>
    <row r="559" spans="17:17" x14ac:dyDescent="0.2">
      <c r="Q559" s="2">
        <v>7</v>
      </c>
    </row>
    <row r="560" spans="17:17" x14ac:dyDescent="0.2">
      <c r="Q560" s="2">
        <v>7</v>
      </c>
    </row>
    <row r="561" spans="17:17" x14ac:dyDescent="0.2">
      <c r="Q561" s="2">
        <v>7</v>
      </c>
    </row>
    <row r="562" spans="17:17" x14ac:dyDescent="0.2">
      <c r="Q562" s="2">
        <v>7</v>
      </c>
    </row>
    <row r="563" spans="17:17" x14ac:dyDescent="0.2">
      <c r="Q563" s="2">
        <v>7</v>
      </c>
    </row>
    <row r="564" spans="17:17" x14ac:dyDescent="0.2">
      <c r="Q564" s="2">
        <v>7</v>
      </c>
    </row>
    <row r="565" spans="17:17" x14ac:dyDescent="0.2">
      <c r="Q565" s="2">
        <v>7</v>
      </c>
    </row>
    <row r="566" spans="17:17" x14ac:dyDescent="0.2">
      <c r="Q566" s="2">
        <v>7</v>
      </c>
    </row>
    <row r="567" spans="17:17" x14ac:dyDescent="0.2">
      <c r="Q567" s="2">
        <v>7</v>
      </c>
    </row>
    <row r="568" spans="17:17" x14ac:dyDescent="0.2">
      <c r="Q568" s="2">
        <v>7</v>
      </c>
    </row>
    <row r="569" spans="17:17" x14ac:dyDescent="0.2">
      <c r="Q569" s="2">
        <v>7</v>
      </c>
    </row>
    <row r="570" spans="17:17" x14ac:dyDescent="0.2">
      <c r="Q570" s="2">
        <v>7</v>
      </c>
    </row>
    <row r="571" spans="17:17" x14ac:dyDescent="0.2">
      <c r="Q571" s="2">
        <v>7</v>
      </c>
    </row>
    <row r="572" spans="17:17" x14ac:dyDescent="0.2">
      <c r="Q572" s="2">
        <v>7</v>
      </c>
    </row>
    <row r="573" spans="17:17" x14ac:dyDescent="0.2">
      <c r="Q573" s="2">
        <v>7</v>
      </c>
    </row>
    <row r="574" spans="17:17" x14ac:dyDescent="0.2">
      <c r="Q574" s="2">
        <v>7</v>
      </c>
    </row>
    <row r="575" spans="17:17" x14ac:dyDescent="0.2">
      <c r="Q575" s="2">
        <v>7</v>
      </c>
    </row>
    <row r="576" spans="17:17" x14ac:dyDescent="0.2">
      <c r="Q576" s="2">
        <v>7</v>
      </c>
    </row>
    <row r="577" spans="17:17" x14ac:dyDescent="0.2">
      <c r="Q577" s="2">
        <v>7</v>
      </c>
    </row>
    <row r="578" spans="17:17" x14ac:dyDescent="0.2">
      <c r="Q578" s="2">
        <v>7</v>
      </c>
    </row>
    <row r="579" spans="17:17" x14ac:dyDescent="0.2">
      <c r="Q579" s="2">
        <v>7</v>
      </c>
    </row>
    <row r="580" spans="17:17" x14ac:dyDescent="0.2">
      <c r="Q580" s="2">
        <v>7</v>
      </c>
    </row>
    <row r="581" spans="17:17" x14ac:dyDescent="0.2">
      <c r="Q581" s="2">
        <v>7</v>
      </c>
    </row>
    <row r="582" spans="17:17" x14ac:dyDescent="0.2">
      <c r="Q582" s="2">
        <v>7</v>
      </c>
    </row>
    <row r="583" spans="17:17" x14ac:dyDescent="0.2">
      <c r="Q583" s="2">
        <v>7</v>
      </c>
    </row>
    <row r="584" spans="17:17" x14ac:dyDescent="0.2">
      <c r="Q584" s="2">
        <v>7</v>
      </c>
    </row>
    <row r="585" spans="17:17" x14ac:dyDescent="0.2">
      <c r="Q585" s="2">
        <v>7</v>
      </c>
    </row>
    <row r="586" spans="17:17" x14ac:dyDescent="0.2">
      <c r="Q586" s="2">
        <v>7</v>
      </c>
    </row>
    <row r="587" spans="17:17" x14ac:dyDescent="0.2">
      <c r="Q587" s="2">
        <v>7</v>
      </c>
    </row>
    <row r="588" spans="17:17" x14ac:dyDescent="0.2">
      <c r="Q588" s="2">
        <v>7</v>
      </c>
    </row>
    <row r="589" spans="17:17" x14ac:dyDescent="0.2">
      <c r="Q589" s="2">
        <v>7</v>
      </c>
    </row>
    <row r="590" spans="17:17" x14ac:dyDescent="0.2">
      <c r="Q590" s="2">
        <v>7</v>
      </c>
    </row>
    <row r="591" spans="17:17" x14ac:dyDescent="0.2">
      <c r="Q591" s="2">
        <v>7</v>
      </c>
    </row>
    <row r="592" spans="17:17" x14ac:dyDescent="0.2">
      <c r="Q592" s="2">
        <v>7</v>
      </c>
    </row>
    <row r="593" spans="17:17" x14ac:dyDescent="0.2">
      <c r="Q593" s="2">
        <v>7</v>
      </c>
    </row>
    <row r="594" spans="17:17" x14ac:dyDescent="0.2">
      <c r="Q594" s="2">
        <v>7</v>
      </c>
    </row>
    <row r="595" spans="17:17" x14ac:dyDescent="0.2">
      <c r="Q595" s="2">
        <v>7</v>
      </c>
    </row>
    <row r="596" spans="17:17" x14ac:dyDescent="0.2">
      <c r="Q596" s="2">
        <v>7</v>
      </c>
    </row>
    <row r="597" spans="17:17" x14ac:dyDescent="0.2">
      <c r="Q597" s="2">
        <v>7</v>
      </c>
    </row>
    <row r="598" spans="17:17" x14ac:dyDescent="0.2">
      <c r="Q598" s="2" t="s">
        <v>93</v>
      </c>
    </row>
    <row r="599" spans="17:17" x14ac:dyDescent="0.2">
      <c r="Q599" s="2">
        <v>7</v>
      </c>
    </row>
    <row r="600" spans="17:17" x14ac:dyDescent="0.2">
      <c r="Q600" s="2">
        <v>7</v>
      </c>
    </row>
    <row r="601" spans="17:17" x14ac:dyDescent="0.2">
      <c r="Q601" s="2">
        <v>7</v>
      </c>
    </row>
    <row r="602" spans="17:17" x14ac:dyDescent="0.2">
      <c r="Q602" s="2">
        <v>7</v>
      </c>
    </row>
    <row r="603" spans="17:17" x14ac:dyDescent="0.2">
      <c r="Q603" s="2">
        <v>7</v>
      </c>
    </row>
    <row r="604" spans="17:17" x14ac:dyDescent="0.2">
      <c r="Q604" s="2">
        <v>7</v>
      </c>
    </row>
    <row r="605" spans="17:17" x14ac:dyDescent="0.2">
      <c r="Q605" s="2">
        <v>7</v>
      </c>
    </row>
    <row r="606" spans="17:17" x14ac:dyDescent="0.2">
      <c r="Q606" s="2">
        <v>7</v>
      </c>
    </row>
    <row r="607" spans="17:17" x14ac:dyDescent="0.2">
      <c r="Q607" s="2">
        <v>7</v>
      </c>
    </row>
    <row r="608" spans="17:17" x14ac:dyDescent="0.2">
      <c r="Q608" s="2">
        <v>7</v>
      </c>
    </row>
    <row r="609" spans="17:17" x14ac:dyDescent="0.2">
      <c r="Q609" s="2">
        <v>7</v>
      </c>
    </row>
    <row r="610" spans="17:17" x14ac:dyDescent="0.2">
      <c r="Q610" s="2">
        <v>7</v>
      </c>
    </row>
    <row r="611" spans="17:17" x14ac:dyDescent="0.2">
      <c r="Q611" s="2">
        <v>7</v>
      </c>
    </row>
    <row r="612" spans="17:17" x14ac:dyDescent="0.2">
      <c r="Q612" s="2">
        <v>7</v>
      </c>
    </row>
    <row r="613" spans="17:17" x14ac:dyDescent="0.2">
      <c r="Q613" s="2">
        <v>7</v>
      </c>
    </row>
    <row r="614" spans="17:17" x14ac:dyDescent="0.2">
      <c r="Q614" s="2">
        <v>7</v>
      </c>
    </row>
    <row r="615" spans="17:17" x14ac:dyDescent="0.2">
      <c r="Q615" s="2">
        <v>7</v>
      </c>
    </row>
    <row r="616" spans="17:17" x14ac:dyDescent="0.2">
      <c r="Q616" s="2">
        <v>7</v>
      </c>
    </row>
    <row r="617" spans="17:17" x14ac:dyDescent="0.2">
      <c r="Q617" s="2">
        <v>7</v>
      </c>
    </row>
    <row r="618" spans="17:17" x14ac:dyDescent="0.2">
      <c r="Q618" s="2">
        <v>7</v>
      </c>
    </row>
    <row r="619" spans="17:17" x14ac:dyDescent="0.2">
      <c r="Q619" s="2">
        <v>7</v>
      </c>
    </row>
    <row r="620" spans="17:17" x14ac:dyDescent="0.2">
      <c r="Q620" s="2">
        <v>7</v>
      </c>
    </row>
    <row r="621" spans="17:17" x14ac:dyDescent="0.2">
      <c r="Q621" s="2">
        <v>7</v>
      </c>
    </row>
    <row r="622" spans="17:17" x14ac:dyDescent="0.2">
      <c r="Q622" s="2">
        <v>7</v>
      </c>
    </row>
    <row r="623" spans="17:17" x14ac:dyDescent="0.2">
      <c r="Q623" s="2">
        <v>7</v>
      </c>
    </row>
    <row r="624" spans="17:17" x14ac:dyDescent="0.2">
      <c r="Q624" s="2">
        <v>7</v>
      </c>
    </row>
    <row r="625" spans="17:17" x14ac:dyDescent="0.2">
      <c r="Q625" s="2">
        <v>7</v>
      </c>
    </row>
    <row r="626" spans="17:17" x14ac:dyDescent="0.2">
      <c r="Q626" s="2">
        <v>7</v>
      </c>
    </row>
    <row r="627" spans="17:17" x14ac:dyDescent="0.2">
      <c r="Q627" s="2" t="s">
        <v>93</v>
      </c>
    </row>
    <row r="628" spans="17:17" x14ac:dyDescent="0.2">
      <c r="Q628" s="2">
        <v>7</v>
      </c>
    </row>
    <row r="629" spans="17:17" x14ac:dyDescent="0.2">
      <c r="Q629" s="2">
        <v>7</v>
      </c>
    </row>
    <row r="630" spans="17:17" x14ac:dyDescent="0.2">
      <c r="Q630" s="2">
        <v>7</v>
      </c>
    </row>
    <row r="631" spans="17:17" x14ac:dyDescent="0.2">
      <c r="Q631" s="2">
        <v>7</v>
      </c>
    </row>
    <row r="632" spans="17:17" x14ac:dyDescent="0.2">
      <c r="Q632" s="2">
        <v>7</v>
      </c>
    </row>
    <row r="633" spans="17:17" x14ac:dyDescent="0.2">
      <c r="Q633" s="2" t="s">
        <v>93</v>
      </c>
    </row>
    <row r="634" spans="17:17" x14ac:dyDescent="0.2">
      <c r="Q634" s="2">
        <v>7</v>
      </c>
    </row>
    <row r="635" spans="17:17" x14ac:dyDescent="0.2">
      <c r="Q635" s="2" t="s">
        <v>93</v>
      </c>
    </row>
    <row r="636" spans="17:17" x14ac:dyDescent="0.2">
      <c r="Q636" s="2">
        <v>7</v>
      </c>
    </row>
    <row r="637" spans="17:17" x14ac:dyDescent="0.2">
      <c r="Q637" s="2">
        <v>7</v>
      </c>
    </row>
    <row r="638" spans="17:17" x14ac:dyDescent="0.2">
      <c r="Q638" s="2">
        <v>7</v>
      </c>
    </row>
    <row r="639" spans="17:17" x14ac:dyDescent="0.2">
      <c r="Q639" s="2">
        <v>7</v>
      </c>
    </row>
    <row r="640" spans="17:17" x14ac:dyDescent="0.2">
      <c r="Q640" s="2">
        <v>7</v>
      </c>
    </row>
    <row r="641" spans="17:17" x14ac:dyDescent="0.2">
      <c r="Q641" s="2">
        <v>7</v>
      </c>
    </row>
    <row r="642" spans="17:17" x14ac:dyDescent="0.2">
      <c r="Q642" s="2">
        <v>7</v>
      </c>
    </row>
    <row r="643" spans="17:17" x14ac:dyDescent="0.2">
      <c r="Q643" s="2">
        <v>7</v>
      </c>
    </row>
    <row r="644" spans="17:17" x14ac:dyDescent="0.2">
      <c r="Q644" s="2">
        <v>7</v>
      </c>
    </row>
    <row r="645" spans="17:17" x14ac:dyDescent="0.2">
      <c r="Q645" s="2">
        <v>7</v>
      </c>
    </row>
    <row r="646" spans="17:17" x14ac:dyDescent="0.2">
      <c r="Q646" s="2">
        <v>7</v>
      </c>
    </row>
    <row r="647" spans="17:17" x14ac:dyDescent="0.2">
      <c r="Q647" s="2">
        <v>7</v>
      </c>
    </row>
    <row r="648" spans="17:17" x14ac:dyDescent="0.2">
      <c r="Q648" s="2">
        <v>7</v>
      </c>
    </row>
    <row r="649" spans="17:17" x14ac:dyDescent="0.2">
      <c r="Q649" s="2">
        <v>7</v>
      </c>
    </row>
    <row r="650" spans="17:17" x14ac:dyDescent="0.2">
      <c r="Q650" s="2">
        <v>7</v>
      </c>
    </row>
    <row r="651" spans="17:17" x14ac:dyDescent="0.2">
      <c r="Q651" s="2">
        <v>7</v>
      </c>
    </row>
    <row r="652" spans="17:17" x14ac:dyDescent="0.2">
      <c r="Q652" s="2">
        <v>7</v>
      </c>
    </row>
    <row r="653" spans="17:17" x14ac:dyDescent="0.2">
      <c r="Q653" s="2">
        <v>7</v>
      </c>
    </row>
    <row r="654" spans="17:17" x14ac:dyDescent="0.2">
      <c r="Q654" s="2">
        <v>7</v>
      </c>
    </row>
    <row r="655" spans="17:17" x14ac:dyDescent="0.2">
      <c r="Q655" s="2">
        <v>7</v>
      </c>
    </row>
    <row r="656" spans="17:17" x14ac:dyDescent="0.2">
      <c r="Q656" s="2">
        <v>7</v>
      </c>
    </row>
    <row r="657" spans="17:17" x14ac:dyDescent="0.2">
      <c r="Q657" s="2">
        <v>7</v>
      </c>
    </row>
    <row r="658" spans="17:17" x14ac:dyDescent="0.2">
      <c r="Q658" s="2">
        <v>7</v>
      </c>
    </row>
    <row r="659" spans="17:17" x14ac:dyDescent="0.2">
      <c r="Q659" s="2">
        <v>7</v>
      </c>
    </row>
    <row r="660" spans="17:17" x14ac:dyDescent="0.2">
      <c r="Q660" s="2">
        <v>7</v>
      </c>
    </row>
    <row r="661" spans="17:17" x14ac:dyDescent="0.2">
      <c r="Q661" s="2">
        <v>7</v>
      </c>
    </row>
    <row r="662" spans="17:17" x14ac:dyDescent="0.2">
      <c r="Q662" s="2" t="s">
        <v>93</v>
      </c>
    </row>
    <row r="663" spans="17:17" x14ac:dyDescent="0.2">
      <c r="Q663" s="2">
        <v>7</v>
      </c>
    </row>
    <row r="664" spans="17:17" x14ac:dyDescent="0.2">
      <c r="Q664" s="2">
        <v>7</v>
      </c>
    </row>
    <row r="665" spans="17:17" x14ac:dyDescent="0.2">
      <c r="Q665" s="2">
        <v>7</v>
      </c>
    </row>
    <row r="666" spans="17:17" x14ac:dyDescent="0.2">
      <c r="Q666" s="2">
        <v>7</v>
      </c>
    </row>
    <row r="667" spans="17:17" x14ac:dyDescent="0.2">
      <c r="Q667" s="2" t="s">
        <v>93</v>
      </c>
    </row>
    <row r="668" spans="17:17" x14ac:dyDescent="0.2">
      <c r="Q668" s="2">
        <v>7</v>
      </c>
    </row>
    <row r="669" spans="17:17" x14ac:dyDescent="0.2">
      <c r="Q669" s="2">
        <v>7</v>
      </c>
    </row>
    <row r="670" spans="17:17" x14ac:dyDescent="0.2">
      <c r="Q670" s="2">
        <v>7</v>
      </c>
    </row>
    <row r="671" spans="17:17" x14ac:dyDescent="0.2">
      <c r="Q671" s="2">
        <v>7</v>
      </c>
    </row>
    <row r="672" spans="17:17" x14ac:dyDescent="0.2">
      <c r="Q672" s="2">
        <v>7</v>
      </c>
    </row>
    <row r="673" spans="17:17" x14ac:dyDescent="0.2">
      <c r="Q673" s="2">
        <v>7</v>
      </c>
    </row>
    <row r="674" spans="17:17" x14ac:dyDescent="0.2">
      <c r="Q674" s="2">
        <v>7</v>
      </c>
    </row>
    <row r="675" spans="17:17" x14ac:dyDescent="0.2">
      <c r="Q675" s="2">
        <v>7</v>
      </c>
    </row>
    <row r="676" spans="17:17" x14ac:dyDescent="0.2">
      <c r="Q676" s="2">
        <v>7</v>
      </c>
    </row>
    <row r="677" spans="17:17" x14ac:dyDescent="0.2">
      <c r="Q677" s="2">
        <v>7</v>
      </c>
    </row>
    <row r="678" spans="17:17" x14ac:dyDescent="0.2">
      <c r="Q678" s="2">
        <v>7</v>
      </c>
    </row>
    <row r="679" spans="17:17" x14ac:dyDescent="0.2">
      <c r="Q679" s="2">
        <v>7</v>
      </c>
    </row>
    <row r="680" spans="17:17" x14ac:dyDescent="0.2">
      <c r="Q680" s="2">
        <v>7</v>
      </c>
    </row>
    <row r="681" spans="17:17" x14ac:dyDescent="0.2">
      <c r="Q681" s="2">
        <v>7</v>
      </c>
    </row>
    <row r="682" spans="17:17" x14ac:dyDescent="0.2">
      <c r="Q682" s="2">
        <v>7</v>
      </c>
    </row>
    <row r="683" spans="17:17" x14ac:dyDescent="0.2">
      <c r="Q683" s="2" t="s">
        <v>93</v>
      </c>
    </row>
    <row r="684" spans="17:17" x14ac:dyDescent="0.2">
      <c r="Q684" s="2">
        <v>7</v>
      </c>
    </row>
    <row r="685" spans="17:17" x14ac:dyDescent="0.2">
      <c r="Q685" s="2">
        <v>7</v>
      </c>
    </row>
    <row r="686" spans="17:17" x14ac:dyDescent="0.2">
      <c r="Q686" s="2">
        <v>7</v>
      </c>
    </row>
    <row r="687" spans="17:17" x14ac:dyDescent="0.2">
      <c r="Q687" s="2">
        <v>7</v>
      </c>
    </row>
    <row r="688" spans="17:17" x14ac:dyDescent="0.2">
      <c r="Q688" s="2">
        <v>7</v>
      </c>
    </row>
    <row r="689" spans="17:17" x14ac:dyDescent="0.2">
      <c r="Q689" s="2">
        <v>7</v>
      </c>
    </row>
    <row r="690" spans="17:17" x14ac:dyDescent="0.2">
      <c r="Q690" s="2">
        <v>7</v>
      </c>
    </row>
    <row r="691" spans="17:17" x14ac:dyDescent="0.2">
      <c r="Q691" s="2">
        <v>7</v>
      </c>
    </row>
    <row r="692" spans="17:17" x14ac:dyDescent="0.2">
      <c r="Q692" s="2">
        <v>7</v>
      </c>
    </row>
    <row r="693" spans="17:17" x14ac:dyDescent="0.2">
      <c r="Q693" s="2">
        <v>7</v>
      </c>
    </row>
    <row r="694" spans="17:17" x14ac:dyDescent="0.2">
      <c r="Q694" s="2">
        <v>7</v>
      </c>
    </row>
    <row r="695" spans="17:17" x14ac:dyDescent="0.2">
      <c r="Q695" s="2">
        <v>7</v>
      </c>
    </row>
    <row r="696" spans="17:17" x14ac:dyDescent="0.2">
      <c r="Q696" s="2">
        <v>7</v>
      </c>
    </row>
    <row r="697" spans="17:17" x14ac:dyDescent="0.2">
      <c r="Q697" s="2">
        <v>7</v>
      </c>
    </row>
    <row r="698" spans="17:17" x14ac:dyDescent="0.2">
      <c r="Q698" s="2">
        <v>7</v>
      </c>
    </row>
    <row r="699" spans="17:17" x14ac:dyDescent="0.2">
      <c r="Q699" s="2">
        <v>7</v>
      </c>
    </row>
    <row r="700" spans="17:17" x14ac:dyDescent="0.2">
      <c r="Q700" s="2">
        <v>7</v>
      </c>
    </row>
    <row r="701" spans="17:17" x14ac:dyDescent="0.2">
      <c r="Q701" s="2">
        <v>7</v>
      </c>
    </row>
    <row r="702" spans="17:17" x14ac:dyDescent="0.2">
      <c r="Q702" s="2">
        <v>7</v>
      </c>
    </row>
    <row r="703" spans="17:17" x14ac:dyDescent="0.2">
      <c r="Q703" s="2">
        <v>7</v>
      </c>
    </row>
    <row r="704" spans="17:17" x14ac:dyDescent="0.2">
      <c r="Q704" s="2">
        <v>7</v>
      </c>
    </row>
    <row r="705" spans="17:17" x14ac:dyDescent="0.2">
      <c r="Q705" s="2">
        <v>7</v>
      </c>
    </row>
    <row r="706" spans="17:17" x14ac:dyDescent="0.2">
      <c r="Q706" s="2">
        <v>7</v>
      </c>
    </row>
    <row r="707" spans="17:17" x14ac:dyDescent="0.2">
      <c r="Q707" s="2">
        <v>7</v>
      </c>
    </row>
    <row r="708" spans="17:17" x14ac:dyDescent="0.2">
      <c r="Q708" s="2">
        <v>6</v>
      </c>
    </row>
    <row r="709" spans="17:17" x14ac:dyDescent="0.2">
      <c r="Q709" s="2">
        <v>7</v>
      </c>
    </row>
    <row r="710" spans="17:17" x14ac:dyDescent="0.2">
      <c r="Q710" s="2">
        <v>7</v>
      </c>
    </row>
    <row r="711" spans="17:17" x14ac:dyDescent="0.2">
      <c r="Q711" s="2">
        <v>7</v>
      </c>
    </row>
    <row r="712" spans="17:17" x14ac:dyDescent="0.2">
      <c r="Q712" s="2">
        <v>7</v>
      </c>
    </row>
    <row r="713" spans="17:17" x14ac:dyDescent="0.2">
      <c r="Q713" s="2">
        <v>7</v>
      </c>
    </row>
    <row r="714" spans="17:17" x14ac:dyDescent="0.2">
      <c r="Q714" s="2">
        <v>7</v>
      </c>
    </row>
    <row r="715" spans="17:17" x14ac:dyDescent="0.2">
      <c r="Q715" s="2">
        <v>7</v>
      </c>
    </row>
    <row r="716" spans="17:17" x14ac:dyDescent="0.2">
      <c r="Q716" s="2">
        <v>7</v>
      </c>
    </row>
    <row r="717" spans="17:17" x14ac:dyDescent="0.2">
      <c r="Q717" s="2">
        <v>7</v>
      </c>
    </row>
    <row r="718" spans="17:17" x14ac:dyDescent="0.2">
      <c r="Q718" s="2">
        <v>7</v>
      </c>
    </row>
    <row r="719" spans="17:17" x14ac:dyDescent="0.2">
      <c r="Q719" s="2">
        <v>7</v>
      </c>
    </row>
    <row r="720" spans="17:17" x14ac:dyDescent="0.2">
      <c r="Q720" s="2">
        <v>7</v>
      </c>
    </row>
    <row r="721" spans="17:17" x14ac:dyDescent="0.2">
      <c r="Q721" s="2">
        <v>7</v>
      </c>
    </row>
    <row r="722" spans="17:17" x14ac:dyDescent="0.2">
      <c r="Q722" s="2">
        <v>7</v>
      </c>
    </row>
    <row r="723" spans="17:17" x14ac:dyDescent="0.2">
      <c r="Q723" s="2">
        <v>7</v>
      </c>
    </row>
    <row r="724" spans="17:17" x14ac:dyDescent="0.2">
      <c r="Q724" s="2">
        <v>7</v>
      </c>
    </row>
    <row r="725" spans="17:17" x14ac:dyDescent="0.2">
      <c r="Q725" s="2">
        <v>7</v>
      </c>
    </row>
    <row r="726" spans="17:17" x14ac:dyDescent="0.2">
      <c r="Q726" s="2">
        <v>7</v>
      </c>
    </row>
    <row r="727" spans="17:17" x14ac:dyDescent="0.2">
      <c r="Q727" s="2">
        <v>7</v>
      </c>
    </row>
    <row r="728" spans="17:17" x14ac:dyDescent="0.2">
      <c r="Q728" s="2">
        <v>7</v>
      </c>
    </row>
    <row r="729" spans="17:17" x14ac:dyDescent="0.2">
      <c r="Q729" s="2">
        <v>7</v>
      </c>
    </row>
    <row r="730" spans="17:17" x14ac:dyDescent="0.2">
      <c r="Q730" s="2">
        <v>7</v>
      </c>
    </row>
    <row r="731" spans="17:17" x14ac:dyDescent="0.2">
      <c r="Q731" s="2">
        <v>7</v>
      </c>
    </row>
    <row r="732" spans="17:17" x14ac:dyDescent="0.2">
      <c r="Q732" s="2">
        <v>7</v>
      </c>
    </row>
    <row r="733" spans="17:17" x14ac:dyDescent="0.2">
      <c r="Q733" s="2">
        <v>7</v>
      </c>
    </row>
    <row r="734" spans="17:17" x14ac:dyDescent="0.2">
      <c r="Q734" s="2">
        <v>7</v>
      </c>
    </row>
    <row r="735" spans="17:17" x14ac:dyDescent="0.2">
      <c r="Q735" s="2">
        <v>7</v>
      </c>
    </row>
    <row r="736" spans="17:17" x14ac:dyDescent="0.2">
      <c r="Q736" s="2">
        <v>7</v>
      </c>
    </row>
    <row r="737" spans="17:17" x14ac:dyDescent="0.2">
      <c r="Q737" s="2">
        <v>7</v>
      </c>
    </row>
    <row r="738" spans="17:17" x14ac:dyDescent="0.2">
      <c r="Q738" s="2">
        <v>7</v>
      </c>
    </row>
    <row r="739" spans="17:17" x14ac:dyDescent="0.2">
      <c r="Q739" s="2">
        <v>7</v>
      </c>
    </row>
    <row r="740" spans="17:17" x14ac:dyDescent="0.2">
      <c r="Q740" s="2">
        <v>7</v>
      </c>
    </row>
    <row r="741" spans="17:17" x14ac:dyDescent="0.2">
      <c r="Q741" s="2">
        <v>7</v>
      </c>
    </row>
    <row r="742" spans="17:17" x14ac:dyDescent="0.2">
      <c r="Q742" s="2">
        <v>7</v>
      </c>
    </row>
    <row r="743" spans="17:17" x14ac:dyDescent="0.2">
      <c r="Q743" s="2">
        <v>7</v>
      </c>
    </row>
    <row r="744" spans="17:17" x14ac:dyDescent="0.2">
      <c r="Q744" s="2">
        <v>7</v>
      </c>
    </row>
    <row r="745" spans="17:17" x14ac:dyDescent="0.2">
      <c r="Q745" s="2">
        <v>7</v>
      </c>
    </row>
    <row r="746" spans="17:17" x14ac:dyDescent="0.2">
      <c r="Q746" s="2">
        <v>7</v>
      </c>
    </row>
    <row r="747" spans="17:17" x14ac:dyDescent="0.2">
      <c r="Q747" s="2">
        <v>7</v>
      </c>
    </row>
    <row r="748" spans="17:17" x14ac:dyDescent="0.2">
      <c r="Q748" s="2">
        <v>7</v>
      </c>
    </row>
    <row r="749" spans="17:17" x14ac:dyDescent="0.2">
      <c r="Q749" s="2">
        <v>7</v>
      </c>
    </row>
    <row r="750" spans="17:17" x14ac:dyDescent="0.2">
      <c r="Q750" s="2">
        <v>7</v>
      </c>
    </row>
    <row r="751" spans="17:17" x14ac:dyDescent="0.2">
      <c r="Q751" s="2">
        <v>7</v>
      </c>
    </row>
    <row r="752" spans="17:17" x14ac:dyDescent="0.2">
      <c r="Q752" s="2">
        <v>7</v>
      </c>
    </row>
    <row r="753" spans="17:17" x14ac:dyDescent="0.2">
      <c r="Q753" s="2">
        <v>7</v>
      </c>
    </row>
    <row r="754" spans="17:17" x14ac:dyDescent="0.2">
      <c r="Q754" s="2">
        <v>7</v>
      </c>
    </row>
    <row r="755" spans="17:17" x14ac:dyDescent="0.2">
      <c r="Q755" s="2">
        <v>7</v>
      </c>
    </row>
    <row r="756" spans="17:17" x14ac:dyDescent="0.2">
      <c r="Q756" s="2">
        <v>7</v>
      </c>
    </row>
    <row r="757" spans="17:17" x14ac:dyDescent="0.2">
      <c r="Q757" s="2">
        <v>7</v>
      </c>
    </row>
    <row r="758" spans="17:17" x14ac:dyDescent="0.2">
      <c r="Q758" s="2">
        <v>7</v>
      </c>
    </row>
    <row r="759" spans="17:17" x14ac:dyDescent="0.2">
      <c r="Q759" s="2">
        <v>7</v>
      </c>
    </row>
    <row r="760" spans="17:17" x14ac:dyDescent="0.2">
      <c r="Q760" s="2">
        <v>7</v>
      </c>
    </row>
    <row r="761" spans="17:17" x14ac:dyDescent="0.2">
      <c r="Q761" s="2">
        <v>7</v>
      </c>
    </row>
    <row r="762" spans="17:17" x14ac:dyDescent="0.2">
      <c r="Q762" s="2">
        <v>7</v>
      </c>
    </row>
    <row r="763" spans="17:17" x14ac:dyDescent="0.2">
      <c r="Q763" s="2">
        <v>7</v>
      </c>
    </row>
    <row r="764" spans="17:17" x14ac:dyDescent="0.2">
      <c r="Q764" s="2">
        <v>7</v>
      </c>
    </row>
    <row r="765" spans="17:17" x14ac:dyDescent="0.2">
      <c r="Q765" s="2">
        <v>7</v>
      </c>
    </row>
    <row r="766" spans="17:17" x14ac:dyDescent="0.2">
      <c r="Q766" s="2">
        <v>7</v>
      </c>
    </row>
    <row r="767" spans="17:17" x14ac:dyDescent="0.2">
      <c r="Q767" s="2">
        <v>7</v>
      </c>
    </row>
    <row r="768" spans="17:17" x14ac:dyDescent="0.2">
      <c r="Q768" s="2">
        <v>7</v>
      </c>
    </row>
    <row r="769" spans="17:17" x14ac:dyDescent="0.2">
      <c r="Q769" s="2">
        <v>7</v>
      </c>
    </row>
    <row r="770" spans="17:17" x14ac:dyDescent="0.2">
      <c r="Q770" s="2">
        <v>7</v>
      </c>
    </row>
    <row r="771" spans="17:17" x14ac:dyDescent="0.2">
      <c r="Q771" s="2">
        <v>7</v>
      </c>
    </row>
    <row r="772" spans="17:17" x14ac:dyDescent="0.2">
      <c r="Q772" s="2">
        <v>7</v>
      </c>
    </row>
    <row r="773" spans="17:17" x14ac:dyDescent="0.2">
      <c r="Q773" s="2">
        <v>7</v>
      </c>
    </row>
    <row r="774" spans="17:17" x14ac:dyDescent="0.2">
      <c r="Q774" s="2">
        <v>7</v>
      </c>
    </row>
    <row r="775" spans="17:17" x14ac:dyDescent="0.2">
      <c r="Q775" s="2">
        <v>7</v>
      </c>
    </row>
    <row r="776" spans="17:17" x14ac:dyDescent="0.2">
      <c r="Q776" s="2">
        <v>7</v>
      </c>
    </row>
    <row r="777" spans="17:17" x14ac:dyDescent="0.2">
      <c r="Q777" s="2">
        <v>7</v>
      </c>
    </row>
    <row r="778" spans="17:17" x14ac:dyDescent="0.2">
      <c r="Q778" s="2">
        <v>7</v>
      </c>
    </row>
    <row r="779" spans="17:17" x14ac:dyDescent="0.2">
      <c r="Q779" s="2">
        <v>7</v>
      </c>
    </row>
    <row r="780" spans="17:17" x14ac:dyDescent="0.2">
      <c r="Q780" s="2">
        <v>7</v>
      </c>
    </row>
    <row r="781" spans="17:17" x14ac:dyDescent="0.2">
      <c r="Q781" s="2">
        <v>7</v>
      </c>
    </row>
    <row r="782" spans="17:17" x14ac:dyDescent="0.2">
      <c r="Q782" s="2">
        <v>7</v>
      </c>
    </row>
    <row r="783" spans="17:17" x14ac:dyDescent="0.2">
      <c r="Q783" s="2">
        <v>7</v>
      </c>
    </row>
    <row r="784" spans="17:17" x14ac:dyDescent="0.2">
      <c r="Q784" s="2">
        <v>7</v>
      </c>
    </row>
    <row r="785" spans="17:17" x14ac:dyDescent="0.2">
      <c r="Q785" s="2">
        <v>7</v>
      </c>
    </row>
    <row r="786" spans="17:17" x14ac:dyDescent="0.2">
      <c r="Q786" s="2">
        <v>7</v>
      </c>
    </row>
    <row r="787" spans="17:17" x14ac:dyDescent="0.2">
      <c r="Q787" s="2">
        <v>7</v>
      </c>
    </row>
    <row r="788" spans="17:17" x14ac:dyDescent="0.2">
      <c r="Q788" s="2">
        <v>7</v>
      </c>
    </row>
    <row r="789" spans="17:17" x14ac:dyDescent="0.2">
      <c r="Q789" s="2">
        <v>7</v>
      </c>
    </row>
    <row r="790" spans="17:17" x14ac:dyDescent="0.2">
      <c r="Q790" s="2">
        <v>7</v>
      </c>
    </row>
    <row r="791" spans="17:17" x14ac:dyDescent="0.2">
      <c r="Q791" s="2">
        <v>7</v>
      </c>
    </row>
    <row r="792" spans="17:17" x14ac:dyDescent="0.2">
      <c r="Q792" s="2">
        <v>7</v>
      </c>
    </row>
    <row r="793" spans="17:17" x14ac:dyDescent="0.2">
      <c r="Q793" s="2">
        <v>7</v>
      </c>
    </row>
    <row r="794" spans="17:17" x14ac:dyDescent="0.2">
      <c r="Q794" s="2">
        <v>7</v>
      </c>
    </row>
    <row r="795" spans="17:17" x14ac:dyDescent="0.2">
      <c r="Q795" s="2">
        <v>7</v>
      </c>
    </row>
    <row r="796" spans="17:17" x14ac:dyDescent="0.2">
      <c r="Q796" s="2">
        <v>7</v>
      </c>
    </row>
    <row r="797" spans="17:17" x14ac:dyDescent="0.2">
      <c r="Q797" s="2">
        <v>7</v>
      </c>
    </row>
    <row r="798" spans="17:17" x14ac:dyDescent="0.2">
      <c r="Q798" s="2">
        <v>7</v>
      </c>
    </row>
    <row r="799" spans="17:17" x14ac:dyDescent="0.2">
      <c r="Q799" s="2">
        <v>7</v>
      </c>
    </row>
    <row r="800" spans="17:17" x14ac:dyDescent="0.2">
      <c r="Q800" s="2">
        <v>7</v>
      </c>
    </row>
    <row r="801" spans="17:17" x14ac:dyDescent="0.2">
      <c r="Q801" s="2">
        <v>7</v>
      </c>
    </row>
    <row r="802" spans="17:17" x14ac:dyDescent="0.2">
      <c r="Q802" s="2">
        <v>7</v>
      </c>
    </row>
    <row r="803" spans="17:17" x14ac:dyDescent="0.2">
      <c r="Q803" s="2">
        <v>7</v>
      </c>
    </row>
    <row r="804" spans="17:17" x14ac:dyDescent="0.2">
      <c r="Q804" s="2">
        <v>7</v>
      </c>
    </row>
    <row r="805" spans="17:17" x14ac:dyDescent="0.2">
      <c r="Q805" s="2">
        <v>7</v>
      </c>
    </row>
    <row r="806" spans="17:17" x14ac:dyDescent="0.2">
      <c r="Q806" s="2">
        <v>7</v>
      </c>
    </row>
    <row r="807" spans="17:17" x14ac:dyDescent="0.2">
      <c r="Q807" s="2">
        <v>7</v>
      </c>
    </row>
    <row r="808" spans="17:17" x14ac:dyDescent="0.2">
      <c r="Q808" s="2">
        <v>7</v>
      </c>
    </row>
    <row r="809" spans="17:17" x14ac:dyDescent="0.2">
      <c r="Q809" s="2">
        <v>7</v>
      </c>
    </row>
    <row r="810" spans="17:17" x14ac:dyDescent="0.2">
      <c r="Q810" s="2">
        <v>7</v>
      </c>
    </row>
    <row r="811" spans="17:17" x14ac:dyDescent="0.2">
      <c r="Q811" s="2">
        <v>7</v>
      </c>
    </row>
    <row r="812" spans="17:17" x14ac:dyDescent="0.2">
      <c r="Q812" s="2">
        <v>7</v>
      </c>
    </row>
    <row r="813" spans="17:17" x14ac:dyDescent="0.2">
      <c r="Q813" s="2">
        <v>7</v>
      </c>
    </row>
    <row r="814" spans="17:17" x14ac:dyDescent="0.2">
      <c r="Q814" s="2">
        <v>7</v>
      </c>
    </row>
    <row r="815" spans="17:17" x14ac:dyDescent="0.2">
      <c r="Q815" s="2">
        <v>7</v>
      </c>
    </row>
    <row r="816" spans="17:17" x14ac:dyDescent="0.2">
      <c r="Q816" s="2">
        <v>7</v>
      </c>
    </row>
    <row r="817" spans="17:17" x14ac:dyDescent="0.2">
      <c r="Q817" s="2">
        <v>7</v>
      </c>
    </row>
    <row r="818" spans="17:17" x14ac:dyDescent="0.2">
      <c r="Q818" s="2">
        <v>7</v>
      </c>
    </row>
    <row r="819" spans="17:17" x14ac:dyDescent="0.2">
      <c r="Q819" s="2">
        <v>7</v>
      </c>
    </row>
    <row r="820" spans="17:17" x14ac:dyDescent="0.2">
      <c r="Q820" s="2">
        <v>7</v>
      </c>
    </row>
    <row r="821" spans="17:17" x14ac:dyDescent="0.2">
      <c r="Q821" s="2">
        <v>7</v>
      </c>
    </row>
    <row r="822" spans="17:17" x14ac:dyDescent="0.2">
      <c r="Q822" s="2">
        <v>7</v>
      </c>
    </row>
    <row r="823" spans="17:17" x14ac:dyDescent="0.2">
      <c r="Q823" s="2">
        <v>7</v>
      </c>
    </row>
    <row r="824" spans="17:17" x14ac:dyDescent="0.2">
      <c r="Q824" s="2">
        <v>7</v>
      </c>
    </row>
    <row r="825" spans="17:17" x14ac:dyDescent="0.2">
      <c r="Q825" s="2">
        <v>7</v>
      </c>
    </row>
    <row r="826" spans="17:17" x14ac:dyDescent="0.2">
      <c r="Q826" s="2">
        <v>7</v>
      </c>
    </row>
    <row r="827" spans="17:17" x14ac:dyDescent="0.2">
      <c r="Q827" s="2" t="s">
        <v>93</v>
      </c>
    </row>
    <row r="828" spans="17:17" x14ac:dyDescent="0.2">
      <c r="Q828" s="2">
        <v>7</v>
      </c>
    </row>
    <row r="829" spans="17:17" x14ac:dyDescent="0.2">
      <c r="Q829" s="2">
        <v>7</v>
      </c>
    </row>
    <row r="830" spans="17:17" x14ac:dyDescent="0.2">
      <c r="Q830" s="2">
        <v>7</v>
      </c>
    </row>
    <row r="831" spans="17:17" x14ac:dyDescent="0.2">
      <c r="Q831" s="2">
        <v>7</v>
      </c>
    </row>
    <row r="832" spans="17:17" x14ac:dyDescent="0.2">
      <c r="Q832" s="2">
        <v>7</v>
      </c>
    </row>
    <row r="833" spans="17:17" x14ac:dyDescent="0.2">
      <c r="Q833" s="2">
        <v>7</v>
      </c>
    </row>
    <row r="834" spans="17:17" x14ac:dyDescent="0.2">
      <c r="Q834" s="2">
        <v>7</v>
      </c>
    </row>
    <row r="835" spans="17:17" x14ac:dyDescent="0.2">
      <c r="Q835" s="2">
        <v>7</v>
      </c>
    </row>
    <row r="836" spans="17:17" x14ac:dyDescent="0.2">
      <c r="Q836" s="2">
        <v>7</v>
      </c>
    </row>
    <row r="837" spans="17:17" x14ac:dyDescent="0.2">
      <c r="Q837" s="2">
        <v>7</v>
      </c>
    </row>
    <row r="838" spans="17:17" x14ac:dyDescent="0.2">
      <c r="Q838" s="2">
        <v>7</v>
      </c>
    </row>
    <row r="839" spans="17:17" x14ac:dyDescent="0.2">
      <c r="Q839" s="2">
        <v>7</v>
      </c>
    </row>
    <row r="840" spans="17:17" x14ac:dyDescent="0.2">
      <c r="Q840" s="2">
        <v>7</v>
      </c>
    </row>
    <row r="841" spans="17:17" x14ac:dyDescent="0.2">
      <c r="Q841" s="2">
        <v>7</v>
      </c>
    </row>
    <row r="842" spans="17:17" x14ac:dyDescent="0.2">
      <c r="Q842" s="2">
        <v>7</v>
      </c>
    </row>
    <row r="843" spans="17:17" x14ac:dyDescent="0.2">
      <c r="Q843" s="2">
        <v>7</v>
      </c>
    </row>
    <row r="844" spans="17:17" x14ac:dyDescent="0.2">
      <c r="Q844" s="2">
        <v>7</v>
      </c>
    </row>
    <row r="845" spans="17:17" x14ac:dyDescent="0.2">
      <c r="Q845" s="2">
        <v>7</v>
      </c>
    </row>
    <row r="846" spans="17:17" x14ac:dyDescent="0.2">
      <c r="Q846" s="2">
        <v>7</v>
      </c>
    </row>
    <row r="847" spans="17:17" x14ac:dyDescent="0.2">
      <c r="Q847" s="2">
        <v>7</v>
      </c>
    </row>
    <row r="848" spans="17:17" x14ac:dyDescent="0.2">
      <c r="Q848" s="2">
        <v>7</v>
      </c>
    </row>
    <row r="849" spans="17:17" x14ac:dyDescent="0.2">
      <c r="Q849" s="2">
        <v>7</v>
      </c>
    </row>
    <row r="850" spans="17:17" x14ac:dyDescent="0.2">
      <c r="Q850" s="2">
        <v>7</v>
      </c>
    </row>
    <row r="851" spans="17:17" x14ac:dyDescent="0.2">
      <c r="Q851" s="2">
        <v>7</v>
      </c>
    </row>
    <row r="852" spans="17:17" x14ac:dyDescent="0.2">
      <c r="Q852" s="2">
        <v>7</v>
      </c>
    </row>
    <row r="853" spans="17:17" x14ac:dyDescent="0.2">
      <c r="Q853" s="2">
        <v>7</v>
      </c>
    </row>
    <row r="854" spans="17:17" x14ac:dyDescent="0.2">
      <c r="Q854" s="2">
        <v>7</v>
      </c>
    </row>
    <row r="855" spans="17:17" x14ac:dyDescent="0.2">
      <c r="Q855" s="2">
        <v>7</v>
      </c>
    </row>
    <row r="856" spans="17:17" x14ac:dyDescent="0.2">
      <c r="Q856" s="2">
        <v>7</v>
      </c>
    </row>
    <row r="857" spans="17:17" x14ac:dyDescent="0.2">
      <c r="Q857" s="2">
        <v>7</v>
      </c>
    </row>
    <row r="858" spans="17:17" x14ac:dyDescent="0.2">
      <c r="Q858" s="2">
        <v>7</v>
      </c>
    </row>
    <row r="859" spans="17:17" x14ac:dyDescent="0.2">
      <c r="Q859" s="2">
        <v>7</v>
      </c>
    </row>
    <row r="860" spans="17:17" x14ac:dyDescent="0.2">
      <c r="Q860" s="2">
        <v>7</v>
      </c>
    </row>
    <row r="861" spans="17:17" x14ac:dyDescent="0.2">
      <c r="Q861" s="2">
        <v>7</v>
      </c>
    </row>
    <row r="862" spans="17:17" x14ac:dyDescent="0.2">
      <c r="Q862" s="2">
        <v>7</v>
      </c>
    </row>
    <row r="863" spans="17:17" x14ac:dyDescent="0.2">
      <c r="Q863" s="2">
        <v>7</v>
      </c>
    </row>
    <row r="864" spans="17:17" x14ac:dyDescent="0.2">
      <c r="Q864" s="2">
        <v>7</v>
      </c>
    </row>
    <row r="865" spans="17:17" x14ac:dyDescent="0.2">
      <c r="Q865" s="2">
        <v>7</v>
      </c>
    </row>
    <row r="866" spans="17:17" x14ac:dyDescent="0.2">
      <c r="Q866" s="2">
        <v>7</v>
      </c>
    </row>
    <row r="867" spans="17:17" x14ac:dyDescent="0.2">
      <c r="Q867" s="2">
        <v>7</v>
      </c>
    </row>
    <row r="868" spans="17:17" x14ac:dyDescent="0.2">
      <c r="Q868" s="2">
        <v>7</v>
      </c>
    </row>
    <row r="869" spans="17:17" x14ac:dyDescent="0.2">
      <c r="Q869" s="2">
        <v>7</v>
      </c>
    </row>
    <row r="870" spans="17:17" x14ac:dyDescent="0.2">
      <c r="Q870" s="2">
        <v>7</v>
      </c>
    </row>
    <row r="871" spans="17:17" x14ac:dyDescent="0.2">
      <c r="Q871" s="2">
        <v>7</v>
      </c>
    </row>
    <row r="872" spans="17:17" x14ac:dyDescent="0.2">
      <c r="Q872" s="2">
        <v>7</v>
      </c>
    </row>
    <row r="873" spans="17:17" x14ac:dyDescent="0.2">
      <c r="Q873" s="2">
        <v>7</v>
      </c>
    </row>
    <row r="874" spans="17:17" x14ac:dyDescent="0.2">
      <c r="Q874" s="2">
        <v>7</v>
      </c>
    </row>
    <row r="875" spans="17:17" x14ac:dyDescent="0.2">
      <c r="Q875" s="2">
        <v>7</v>
      </c>
    </row>
    <row r="876" spans="17:17" x14ac:dyDescent="0.2">
      <c r="Q876" s="2">
        <v>7</v>
      </c>
    </row>
    <row r="877" spans="17:17" x14ac:dyDescent="0.2">
      <c r="Q877" s="2">
        <v>7</v>
      </c>
    </row>
    <row r="878" spans="17:17" x14ac:dyDescent="0.2">
      <c r="Q878" s="2">
        <v>7</v>
      </c>
    </row>
    <row r="879" spans="17:17" x14ac:dyDescent="0.2">
      <c r="Q879" s="2">
        <v>7</v>
      </c>
    </row>
    <row r="880" spans="17:17" x14ac:dyDescent="0.2">
      <c r="Q880" s="2">
        <v>7</v>
      </c>
    </row>
    <row r="881" spans="17:17" x14ac:dyDescent="0.2">
      <c r="Q881" s="2">
        <v>7</v>
      </c>
    </row>
    <row r="882" spans="17:17" x14ac:dyDescent="0.2">
      <c r="Q882" s="2">
        <v>7</v>
      </c>
    </row>
    <row r="883" spans="17:17" x14ac:dyDescent="0.2">
      <c r="Q883" s="2">
        <v>7</v>
      </c>
    </row>
    <row r="884" spans="17:17" x14ac:dyDescent="0.2">
      <c r="Q884" s="2">
        <v>7</v>
      </c>
    </row>
    <row r="885" spans="17:17" x14ac:dyDescent="0.2">
      <c r="Q885" s="2">
        <v>7</v>
      </c>
    </row>
    <row r="886" spans="17:17" x14ac:dyDescent="0.2">
      <c r="Q886" s="2">
        <v>7</v>
      </c>
    </row>
    <row r="887" spans="17:17" x14ac:dyDescent="0.2">
      <c r="Q887" s="2" t="s">
        <v>93</v>
      </c>
    </row>
    <row r="888" spans="17:17" x14ac:dyDescent="0.2">
      <c r="Q888" s="2">
        <v>7</v>
      </c>
    </row>
    <row r="889" spans="17:17" x14ac:dyDescent="0.2">
      <c r="Q889" s="2">
        <v>7</v>
      </c>
    </row>
    <row r="890" spans="17:17" x14ac:dyDescent="0.2">
      <c r="Q890" s="2">
        <v>7</v>
      </c>
    </row>
    <row r="891" spans="17:17" x14ac:dyDescent="0.2">
      <c r="Q891" s="2">
        <v>7</v>
      </c>
    </row>
    <row r="892" spans="17:17" x14ac:dyDescent="0.2">
      <c r="Q892" s="2" t="s">
        <v>93</v>
      </c>
    </row>
    <row r="893" spans="17:17" x14ac:dyDescent="0.2">
      <c r="Q893" s="2">
        <v>7</v>
      </c>
    </row>
    <row r="894" spans="17:17" x14ac:dyDescent="0.2">
      <c r="Q894" s="2">
        <v>7</v>
      </c>
    </row>
    <row r="895" spans="17:17" x14ac:dyDescent="0.2">
      <c r="Q895" s="2">
        <v>7</v>
      </c>
    </row>
    <row r="896" spans="17:17" x14ac:dyDescent="0.2">
      <c r="Q896" s="2">
        <v>7</v>
      </c>
    </row>
    <row r="897" spans="17:17" x14ac:dyDescent="0.2">
      <c r="Q897" s="2">
        <v>7</v>
      </c>
    </row>
    <row r="898" spans="17:17" x14ac:dyDescent="0.2">
      <c r="Q898" s="2">
        <v>7</v>
      </c>
    </row>
    <row r="899" spans="17:17" x14ac:dyDescent="0.2">
      <c r="Q899" s="2">
        <v>7</v>
      </c>
    </row>
    <row r="900" spans="17:17" x14ac:dyDescent="0.2">
      <c r="Q900" s="2">
        <v>7</v>
      </c>
    </row>
    <row r="901" spans="17:17" x14ac:dyDescent="0.2">
      <c r="Q901" s="2">
        <v>7</v>
      </c>
    </row>
    <row r="902" spans="17:17" x14ac:dyDescent="0.2">
      <c r="Q902" s="2">
        <v>7</v>
      </c>
    </row>
    <row r="903" spans="17:17" x14ac:dyDescent="0.2">
      <c r="Q903" s="2">
        <v>7</v>
      </c>
    </row>
    <row r="904" spans="17:17" x14ac:dyDescent="0.2">
      <c r="Q904" s="2">
        <v>7</v>
      </c>
    </row>
    <row r="905" spans="17:17" x14ac:dyDescent="0.2">
      <c r="Q905" s="2">
        <v>7</v>
      </c>
    </row>
    <row r="906" spans="17:17" x14ac:dyDescent="0.2">
      <c r="Q906" s="2">
        <v>7</v>
      </c>
    </row>
    <row r="907" spans="17:17" x14ac:dyDescent="0.2">
      <c r="Q907" s="2">
        <v>7</v>
      </c>
    </row>
    <row r="908" spans="17:17" x14ac:dyDescent="0.2">
      <c r="Q908" s="2">
        <v>7</v>
      </c>
    </row>
    <row r="909" spans="17:17" x14ac:dyDescent="0.2">
      <c r="Q909" s="2">
        <v>7</v>
      </c>
    </row>
    <row r="910" spans="17:17" x14ac:dyDescent="0.2">
      <c r="Q910" s="2">
        <v>7</v>
      </c>
    </row>
    <row r="911" spans="17:17" x14ac:dyDescent="0.2">
      <c r="Q911" s="2">
        <v>7</v>
      </c>
    </row>
    <row r="912" spans="17:17" x14ac:dyDescent="0.2">
      <c r="Q912" s="2">
        <v>7</v>
      </c>
    </row>
    <row r="913" spans="17:17" x14ac:dyDescent="0.2">
      <c r="Q913" s="2">
        <v>7</v>
      </c>
    </row>
    <row r="914" spans="17:17" x14ac:dyDescent="0.2">
      <c r="Q914" s="2">
        <v>7</v>
      </c>
    </row>
    <row r="915" spans="17:17" x14ac:dyDescent="0.2">
      <c r="Q915" s="2">
        <v>7</v>
      </c>
    </row>
    <row r="916" spans="17:17" x14ac:dyDescent="0.2">
      <c r="Q916" s="2">
        <v>7</v>
      </c>
    </row>
    <row r="917" spans="17:17" x14ac:dyDescent="0.2">
      <c r="Q917" s="2">
        <v>7</v>
      </c>
    </row>
    <row r="918" spans="17:17" x14ac:dyDescent="0.2">
      <c r="Q918" s="2">
        <v>7</v>
      </c>
    </row>
    <row r="919" spans="17:17" x14ac:dyDescent="0.2">
      <c r="Q919" s="2" t="s">
        <v>93</v>
      </c>
    </row>
    <row r="920" spans="17:17" x14ac:dyDescent="0.2">
      <c r="Q920" s="2">
        <v>7</v>
      </c>
    </row>
    <row r="921" spans="17:17" x14ac:dyDescent="0.2">
      <c r="Q921" s="2">
        <v>7</v>
      </c>
    </row>
    <row r="922" spans="17:17" x14ac:dyDescent="0.2">
      <c r="Q922" s="2">
        <v>7</v>
      </c>
    </row>
    <row r="923" spans="17:17" x14ac:dyDescent="0.2">
      <c r="Q923" s="2">
        <v>7</v>
      </c>
    </row>
    <row r="924" spans="17:17" x14ac:dyDescent="0.2">
      <c r="Q924" s="2">
        <v>7</v>
      </c>
    </row>
    <row r="925" spans="17:17" x14ac:dyDescent="0.2">
      <c r="Q925" s="2">
        <v>7</v>
      </c>
    </row>
    <row r="926" spans="17:17" x14ac:dyDescent="0.2">
      <c r="Q926" s="2">
        <v>7</v>
      </c>
    </row>
    <row r="927" spans="17:17" x14ac:dyDescent="0.2">
      <c r="Q927" s="2">
        <v>7</v>
      </c>
    </row>
    <row r="928" spans="17:17" x14ac:dyDescent="0.2">
      <c r="Q928" s="2">
        <v>7</v>
      </c>
    </row>
    <row r="929" spans="17:17" x14ac:dyDescent="0.2">
      <c r="Q929" s="2">
        <v>7</v>
      </c>
    </row>
    <row r="930" spans="17:17" x14ac:dyDescent="0.2">
      <c r="Q930" s="2">
        <v>7</v>
      </c>
    </row>
    <row r="931" spans="17:17" x14ac:dyDescent="0.2">
      <c r="Q931" s="2">
        <v>7</v>
      </c>
    </row>
    <row r="932" spans="17:17" x14ac:dyDescent="0.2">
      <c r="Q932" s="2">
        <v>7</v>
      </c>
    </row>
    <row r="933" spans="17:17" x14ac:dyDescent="0.2">
      <c r="Q933" s="2">
        <v>7</v>
      </c>
    </row>
    <row r="934" spans="17:17" x14ac:dyDescent="0.2">
      <c r="Q934" s="2">
        <v>7</v>
      </c>
    </row>
    <row r="935" spans="17:17" x14ac:dyDescent="0.2">
      <c r="Q935" s="2">
        <v>7</v>
      </c>
    </row>
    <row r="936" spans="17:17" x14ac:dyDescent="0.2">
      <c r="Q936" s="2">
        <v>7</v>
      </c>
    </row>
    <row r="937" spans="17:17" x14ac:dyDescent="0.2">
      <c r="Q937" s="2">
        <v>7</v>
      </c>
    </row>
    <row r="938" spans="17:17" x14ac:dyDescent="0.2">
      <c r="Q938" s="2" t="s">
        <v>93</v>
      </c>
    </row>
    <row r="939" spans="17:17" x14ac:dyDescent="0.2">
      <c r="Q939" s="2">
        <v>7</v>
      </c>
    </row>
    <row r="940" spans="17:17" x14ac:dyDescent="0.2">
      <c r="Q940" s="2">
        <v>7</v>
      </c>
    </row>
    <row r="941" spans="17:17" x14ac:dyDescent="0.2">
      <c r="Q941" s="2">
        <v>7</v>
      </c>
    </row>
    <row r="942" spans="17:17" x14ac:dyDescent="0.2">
      <c r="Q942" s="2">
        <v>7</v>
      </c>
    </row>
    <row r="943" spans="17:17" x14ac:dyDescent="0.2">
      <c r="Q943" s="2">
        <v>7</v>
      </c>
    </row>
    <row r="944" spans="17:17" x14ac:dyDescent="0.2">
      <c r="Q944" s="2">
        <v>7</v>
      </c>
    </row>
    <row r="945" spans="17:17" x14ac:dyDescent="0.2">
      <c r="Q945" s="2">
        <v>7</v>
      </c>
    </row>
    <row r="946" spans="17:17" x14ac:dyDescent="0.2">
      <c r="Q946" s="2">
        <v>7</v>
      </c>
    </row>
    <row r="947" spans="17:17" x14ac:dyDescent="0.2">
      <c r="Q947" s="2">
        <v>7</v>
      </c>
    </row>
    <row r="948" spans="17:17" x14ac:dyDescent="0.2">
      <c r="Q948" s="2">
        <v>7</v>
      </c>
    </row>
    <row r="949" spans="17:17" x14ac:dyDescent="0.2">
      <c r="Q949" s="2">
        <v>7</v>
      </c>
    </row>
    <row r="950" spans="17:17" x14ac:dyDescent="0.2">
      <c r="Q950" s="2">
        <v>7</v>
      </c>
    </row>
    <row r="951" spans="17:17" x14ac:dyDescent="0.2">
      <c r="Q951" s="2">
        <v>7</v>
      </c>
    </row>
    <row r="952" spans="17:17" x14ac:dyDescent="0.2">
      <c r="Q952" s="2">
        <v>7</v>
      </c>
    </row>
    <row r="953" spans="17:17" x14ac:dyDescent="0.2">
      <c r="Q953" s="2">
        <v>7</v>
      </c>
    </row>
    <row r="954" spans="17:17" x14ac:dyDescent="0.2">
      <c r="Q954" s="2">
        <v>7</v>
      </c>
    </row>
    <row r="955" spans="17:17" x14ac:dyDescent="0.2">
      <c r="Q955" s="2">
        <v>7</v>
      </c>
    </row>
    <row r="956" spans="17:17" x14ac:dyDescent="0.2">
      <c r="Q956" s="2">
        <v>7</v>
      </c>
    </row>
    <row r="957" spans="17:17" x14ac:dyDescent="0.2">
      <c r="Q957" s="2">
        <v>7</v>
      </c>
    </row>
    <row r="958" spans="17:17" x14ac:dyDescent="0.2">
      <c r="Q958" s="2">
        <v>7</v>
      </c>
    </row>
    <row r="959" spans="17:17" x14ac:dyDescent="0.2">
      <c r="Q959" s="2">
        <v>7</v>
      </c>
    </row>
    <row r="960" spans="17:17" x14ac:dyDescent="0.2">
      <c r="Q960" s="2">
        <v>7</v>
      </c>
    </row>
    <row r="961" spans="17:17" x14ac:dyDescent="0.2">
      <c r="Q961" s="2">
        <v>7</v>
      </c>
    </row>
    <row r="962" spans="17:17" x14ac:dyDescent="0.2">
      <c r="Q962" s="2">
        <v>7</v>
      </c>
    </row>
    <row r="963" spans="17:17" x14ac:dyDescent="0.2">
      <c r="Q963" s="2">
        <v>7</v>
      </c>
    </row>
    <row r="964" spans="17:17" x14ac:dyDescent="0.2">
      <c r="Q964" s="2">
        <v>7</v>
      </c>
    </row>
    <row r="965" spans="17:17" x14ac:dyDescent="0.2">
      <c r="Q965" s="2">
        <v>7</v>
      </c>
    </row>
    <row r="966" spans="17:17" x14ac:dyDescent="0.2">
      <c r="Q966" s="2">
        <v>7</v>
      </c>
    </row>
    <row r="967" spans="17:17" x14ac:dyDescent="0.2">
      <c r="Q967" s="2">
        <v>7</v>
      </c>
    </row>
    <row r="968" spans="17:17" x14ac:dyDescent="0.2">
      <c r="Q968" s="2">
        <v>7</v>
      </c>
    </row>
    <row r="969" spans="17:17" x14ac:dyDescent="0.2">
      <c r="Q969" s="2">
        <v>7</v>
      </c>
    </row>
    <row r="970" spans="17:17" x14ac:dyDescent="0.2">
      <c r="Q970" s="2">
        <v>7</v>
      </c>
    </row>
    <row r="971" spans="17:17" x14ac:dyDescent="0.2">
      <c r="Q971" s="2">
        <v>7</v>
      </c>
    </row>
    <row r="972" spans="17:17" x14ac:dyDescent="0.2">
      <c r="Q972" s="2">
        <v>7</v>
      </c>
    </row>
    <row r="973" spans="17:17" x14ac:dyDescent="0.2">
      <c r="Q973" s="2">
        <v>7</v>
      </c>
    </row>
    <row r="974" spans="17:17" x14ac:dyDescent="0.2">
      <c r="Q974" s="2">
        <v>7</v>
      </c>
    </row>
    <row r="975" spans="17:17" x14ac:dyDescent="0.2">
      <c r="Q975" s="2">
        <v>7</v>
      </c>
    </row>
    <row r="976" spans="17:17" x14ac:dyDescent="0.2">
      <c r="Q976" s="2">
        <v>7</v>
      </c>
    </row>
    <row r="977" spans="17:17" x14ac:dyDescent="0.2">
      <c r="Q977" s="2">
        <v>7</v>
      </c>
    </row>
    <row r="978" spans="17:17" x14ac:dyDescent="0.2">
      <c r="Q978" s="2">
        <v>7</v>
      </c>
    </row>
    <row r="979" spans="17:17" x14ac:dyDescent="0.2">
      <c r="Q979" s="2">
        <v>7</v>
      </c>
    </row>
    <row r="980" spans="17:17" x14ac:dyDescent="0.2">
      <c r="Q980" s="2">
        <v>7</v>
      </c>
    </row>
    <row r="981" spans="17:17" x14ac:dyDescent="0.2">
      <c r="Q981" s="2">
        <v>7</v>
      </c>
    </row>
    <row r="982" spans="17:17" x14ac:dyDescent="0.2">
      <c r="Q982" s="2">
        <v>7</v>
      </c>
    </row>
    <row r="983" spans="17:17" x14ac:dyDescent="0.2">
      <c r="Q983" s="2">
        <v>7</v>
      </c>
    </row>
    <row r="984" spans="17:17" x14ac:dyDescent="0.2">
      <c r="Q984" s="2">
        <v>7</v>
      </c>
    </row>
    <row r="985" spans="17:17" x14ac:dyDescent="0.2">
      <c r="Q985" s="2">
        <v>7</v>
      </c>
    </row>
    <row r="986" spans="17:17" x14ac:dyDescent="0.2">
      <c r="Q986" s="2">
        <v>7</v>
      </c>
    </row>
    <row r="987" spans="17:17" x14ac:dyDescent="0.2">
      <c r="Q987" s="2">
        <v>7</v>
      </c>
    </row>
    <row r="988" spans="17:17" x14ac:dyDescent="0.2">
      <c r="Q988" s="2">
        <v>7</v>
      </c>
    </row>
    <row r="989" spans="17:17" x14ac:dyDescent="0.2">
      <c r="Q989" s="2">
        <v>7</v>
      </c>
    </row>
    <row r="990" spans="17:17" x14ac:dyDescent="0.2">
      <c r="Q990" s="2">
        <v>7</v>
      </c>
    </row>
    <row r="991" spans="17:17" x14ac:dyDescent="0.2">
      <c r="Q991" s="2">
        <v>7</v>
      </c>
    </row>
    <row r="992" spans="17:17" x14ac:dyDescent="0.2">
      <c r="Q992" s="2">
        <v>7</v>
      </c>
    </row>
    <row r="993" spans="17:17" x14ac:dyDescent="0.2">
      <c r="Q993" s="2">
        <v>7</v>
      </c>
    </row>
    <row r="994" spans="17:17" x14ac:dyDescent="0.2">
      <c r="Q994" s="2">
        <v>7</v>
      </c>
    </row>
    <row r="995" spans="17:17" x14ac:dyDescent="0.2">
      <c r="Q995" s="2">
        <v>7</v>
      </c>
    </row>
    <row r="996" spans="17:17" x14ac:dyDescent="0.2">
      <c r="Q996" s="2">
        <v>7</v>
      </c>
    </row>
    <row r="997" spans="17:17" x14ac:dyDescent="0.2">
      <c r="Q997" s="2">
        <v>7</v>
      </c>
    </row>
    <row r="998" spans="17:17" x14ac:dyDescent="0.2">
      <c r="Q998" s="2">
        <v>7</v>
      </c>
    </row>
    <row r="999" spans="17:17" x14ac:dyDescent="0.2">
      <c r="Q999" s="2">
        <v>7</v>
      </c>
    </row>
    <row r="1000" spans="17:17" x14ac:dyDescent="0.2">
      <c r="Q1000" s="2">
        <v>7</v>
      </c>
    </row>
    <row r="1001" spans="17:17" x14ac:dyDescent="0.2">
      <c r="Q1001" s="2">
        <v>7</v>
      </c>
    </row>
    <row r="1002" spans="17:17" x14ac:dyDescent="0.2">
      <c r="Q1002" s="2" t="s">
        <v>93</v>
      </c>
    </row>
    <row r="1003" spans="17:17" x14ac:dyDescent="0.2">
      <c r="Q1003" s="2">
        <v>7</v>
      </c>
    </row>
    <row r="1004" spans="17:17" x14ac:dyDescent="0.2">
      <c r="Q1004" s="2">
        <v>7</v>
      </c>
    </row>
    <row r="1005" spans="17:17" x14ac:dyDescent="0.2">
      <c r="Q1005" s="2">
        <v>7</v>
      </c>
    </row>
    <row r="1006" spans="17:17" x14ac:dyDescent="0.2">
      <c r="Q1006" s="2">
        <v>7</v>
      </c>
    </row>
    <row r="1007" spans="17:17" x14ac:dyDescent="0.2">
      <c r="Q1007" s="2">
        <v>7</v>
      </c>
    </row>
    <row r="1008" spans="17:17" x14ac:dyDescent="0.2">
      <c r="Q1008" s="2">
        <v>7</v>
      </c>
    </row>
    <row r="1009" spans="17:17" x14ac:dyDescent="0.2">
      <c r="Q1009" s="2">
        <v>7</v>
      </c>
    </row>
    <row r="1010" spans="17:17" x14ac:dyDescent="0.2">
      <c r="Q1010" s="2">
        <v>6</v>
      </c>
    </row>
    <row r="1011" spans="17:17" x14ac:dyDescent="0.2">
      <c r="Q1011" s="2">
        <v>7</v>
      </c>
    </row>
    <row r="1012" spans="17:17" x14ac:dyDescent="0.2">
      <c r="Q1012" s="2">
        <v>7</v>
      </c>
    </row>
    <row r="1013" spans="17:17" x14ac:dyDescent="0.2">
      <c r="Q1013" s="2">
        <v>7</v>
      </c>
    </row>
    <row r="1014" spans="17:17" x14ac:dyDescent="0.2">
      <c r="Q1014" s="2">
        <v>7</v>
      </c>
    </row>
    <row r="1015" spans="17:17" x14ac:dyDescent="0.2">
      <c r="Q1015" s="2">
        <v>7</v>
      </c>
    </row>
    <row r="1016" spans="17:17" x14ac:dyDescent="0.2">
      <c r="Q1016" s="2">
        <v>7</v>
      </c>
    </row>
    <row r="1017" spans="17:17" x14ac:dyDescent="0.2">
      <c r="Q1017" s="2">
        <v>7</v>
      </c>
    </row>
    <row r="1018" spans="17:17" x14ac:dyDescent="0.2">
      <c r="Q1018" s="2">
        <v>7</v>
      </c>
    </row>
    <row r="1019" spans="17:17" x14ac:dyDescent="0.2">
      <c r="Q1019" s="2">
        <v>7</v>
      </c>
    </row>
    <row r="1020" spans="17:17" x14ac:dyDescent="0.2">
      <c r="Q1020" s="2">
        <v>7</v>
      </c>
    </row>
    <row r="1021" spans="17:17" x14ac:dyDescent="0.2">
      <c r="Q1021" s="2">
        <v>7</v>
      </c>
    </row>
    <row r="1022" spans="17:17" x14ac:dyDescent="0.2">
      <c r="Q1022" s="2">
        <v>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itTime">
                <anchor moveWithCells="1" sizeWithCells="1">
                  <from>
                    <xdr:col>11</xdr:col>
                    <xdr:colOff>295275</xdr:colOff>
                    <xdr:row>15</xdr:row>
                    <xdr:rowOff>104775</xdr:rowOff>
                  </from>
                  <to>
                    <xdr:col>12</xdr:col>
                    <xdr:colOff>771525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6F096-47AE-4516-86DD-C5A4D2794EDC}">
  <sheetPr codeName="Sheet5"/>
  <dimension ref="B2:R88"/>
  <sheetViews>
    <sheetView showGridLines="0" zoomScale="84" zoomScaleNormal="100" workbookViewId="0">
      <selection activeCell="J88" sqref="J88"/>
    </sheetView>
  </sheetViews>
  <sheetFormatPr defaultRowHeight="14.25" outlineLevelRow="1" x14ac:dyDescent="0.2"/>
  <cols>
    <col min="1" max="1" width="2.625" customWidth="1"/>
    <col min="4" max="5" width="2.625" customWidth="1"/>
    <col min="6" max="6" width="5.625" customWidth="1"/>
    <col min="7" max="7" width="6.625" customWidth="1"/>
    <col min="8" max="9" width="7.625" customWidth="1"/>
    <col min="10" max="10" width="10.375" customWidth="1"/>
    <col min="11" max="17" width="7.625" customWidth="1"/>
  </cols>
  <sheetData>
    <row r="2" spans="2:18" ht="15" x14ac:dyDescent="0.25">
      <c r="B2" s="1" t="s">
        <v>67</v>
      </c>
    </row>
    <row r="3" spans="2:18" x14ac:dyDescent="0.2">
      <c r="B3" t="s">
        <v>68</v>
      </c>
    </row>
    <row r="4" spans="2:18" x14ac:dyDescent="0.2">
      <c r="B4" t="s">
        <v>69</v>
      </c>
    </row>
    <row r="5" spans="2:18" x14ac:dyDescent="0.2">
      <c r="B5" t="s">
        <v>70</v>
      </c>
    </row>
    <row r="6" spans="2:18" x14ac:dyDescent="0.2">
      <c r="B6" t="s">
        <v>71</v>
      </c>
    </row>
    <row r="9" spans="2:18" x14ac:dyDescent="0.2">
      <c r="C9" s="31"/>
      <c r="D9" s="23"/>
      <c r="E9" s="23"/>
      <c r="F9" s="23"/>
      <c r="G9" s="23" t="s">
        <v>48</v>
      </c>
      <c r="H9" s="23">
        <v>1</v>
      </c>
      <c r="I9" s="23">
        <v>2</v>
      </c>
      <c r="J9" s="23">
        <v>3</v>
      </c>
      <c r="K9" s="23">
        <v>4</v>
      </c>
      <c r="L9" s="23">
        <v>5</v>
      </c>
      <c r="M9" s="23">
        <v>6</v>
      </c>
      <c r="N9" s="23">
        <v>7</v>
      </c>
      <c r="O9" s="23">
        <v>8</v>
      </c>
      <c r="P9" s="23">
        <v>9</v>
      </c>
      <c r="Q9" s="32">
        <v>10</v>
      </c>
    </row>
    <row r="10" spans="2:18" x14ac:dyDescent="0.2">
      <c r="C10" s="33"/>
      <c r="D10" s="34"/>
      <c r="E10" s="34"/>
      <c r="F10" s="34"/>
      <c r="G10" s="35" t="s">
        <v>49</v>
      </c>
      <c r="H10" s="36">
        <v>0.03</v>
      </c>
      <c r="I10" s="36">
        <v>3.5000000000000003E-2</v>
      </c>
      <c r="J10" s="36">
        <v>3.7999999999999999E-2</v>
      </c>
      <c r="K10" s="36">
        <v>4.2000000000000003E-2</v>
      </c>
      <c r="L10" s="36">
        <v>4.4999999999999998E-2</v>
      </c>
      <c r="M10" s="36">
        <v>0.05</v>
      </c>
      <c r="N10" s="36">
        <v>0.09</v>
      </c>
      <c r="O10" s="36">
        <v>0.1</v>
      </c>
      <c r="P10" s="36">
        <v>0.13</v>
      </c>
      <c r="Q10" s="37">
        <v>0.125</v>
      </c>
    </row>
    <row r="11" spans="2:18" x14ac:dyDescent="0.2">
      <c r="C11" s="38"/>
      <c r="D11" s="39"/>
      <c r="E11" s="39"/>
      <c r="F11" s="39"/>
      <c r="G11" s="40" t="s">
        <v>64</v>
      </c>
      <c r="H11" s="41">
        <v>5.0000000000000001E-3</v>
      </c>
      <c r="I11" s="41">
        <v>0.04</v>
      </c>
      <c r="J11" s="41">
        <v>4.3999999999999997E-2</v>
      </c>
      <c r="K11" s="41">
        <v>0.05</v>
      </c>
      <c r="L11" s="41">
        <v>5.1999999999999998E-2</v>
      </c>
      <c r="M11" s="41">
        <v>6.4000000000000001E-2</v>
      </c>
      <c r="N11" s="41">
        <v>0.115</v>
      </c>
      <c r="O11" s="41">
        <v>0.13</v>
      </c>
      <c r="P11" s="41">
        <v>0.15</v>
      </c>
      <c r="Q11" s="42">
        <v>0.14000000000000001</v>
      </c>
      <c r="R11" s="43" t="s">
        <v>61</v>
      </c>
    </row>
    <row r="12" spans="2:18" x14ac:dyDescent="0.2">
      <c r="C12" s="75" t="s">
        <v>84</v>
      </c>
      <c r="D12" s="24"/>
      <c r="E12" s="24"/>
      <c r="F12" s="24"/>
      <c r="G12" s="44" t="s">
        <v>62</v>
      </c>
      <c r="H12" s="45">
        <v>4.5</v>
      </c>
      <c r="I12" s="45">
        <v>10</v>
      </c>
      <c r="J12" s="45">
        <v>15</v>
      </c>
      <c r="K12" s="45">
        <v>12.5</v>
      </c>
      <c r="L12" s="45">
        <v>12</v>
      </c>
      <c r="M12" s="45">
        <v>11</v>
      </c>
      <c r="N12" s="45">
        <v>20</v>
      </c>
      <c r="O12" s="45">
        <v>15</v>
      </c>
      <c r="P12" s="45">
        <v>0</v>
      </c>
      <c r="Q12" s="45">
        <v>0</v>
      </c>
      <c r="R12" s="46">
        <f>SUM(H12:Q12)</f>
        <v>100</v>
      </c>
    </row>
    <row r="13" spans="2:18" x14ac:dyDescent="0.2">
      <c r="C13" s="76"/>
      <c r="D13" s="25"/>
      <c r="E13" s="25"/>
      <c r="F13" s="25"/>
      <c r="G13" s="47" t="s">
        <v>63</v>
      </c>
      <c r="H13" s="48">
        <f>H12/$R$12</f>
        <v>4.4999999999999998E-2</v>
      </c>
      <c r="I13" s="48">
        <f t="shared" ref="I13:Q13" si="0">I12/$R$12</f>
        <v>0.1</v>
      </c>
      <c r="J13" s="48">
        <f t="shared" si="0"/>
        <v>0.15</v>
      </c>
      <c r="K13" s="48">
        <f t="shared" si="0"/>
        <v>0.125</v>
      </c>
      <c r="L13" s="48">
        <f t="shared" si="0"/>
        <v>0.12</v>
      </c>
      <c r="M13" s="48">
        <f t="shared" si="0"/>
        <v>0.11</v>
      </c>
      <c r="N13" s="48">
        <f t="shared" si="0"/>
        <v>0.2</v>
      </c>
      <c r="O13" s="48">
        <f t="shared" si="0"/>
        <v>0.15</v>
      </c>
      <c r="P13" s="48">
        <f t="shared" si="0"/>
        <v>0</v>
      </c>
      <c r="Q13" s="48">
        <f t="shared" si="0"/>
        <v>0</v>
      </c>
      <c r="R13" s="49">
        <f>SUM(H13:Q13)</f>
        <v>1</v>
      </c>
    </row>
    <row r="16" spans="2:18" ht="15" x14ac:dyDescent="0.25">
      <c r="B16" s="50"/>
      <c r="G16" s="1" t="s">
        <v>60</v>
      </c>
    </row>
    <row r="17" spans="2:18" x14ac:dyDescent="0.2">
      <c r="B17" s="51"/>
      <c r="G17" t="s">
        <v>49</v>
      </c>
      <c r="J17" s="52">
        <f>SUMPRODUCT(H10:Q10,H13:Q13)</f>
        <v>5.9700000000000003E-2</v>
      </c>
    </row>
    <row r="18" spans="2:18" x14ac:dyDescent="0.2">
      <c r="B18" s="22"/>
      <c r="G18" t="s">
        <v>64</v>
      </c>
      <c r="J18" s="52" cm="1">
        <f t="array" ref="J18">SQRT(MMULT(H13:Q13,MMULT(G49:P58,TRANSPOSE(H13:Q13))))</f>
        <v>5.2173165755970766E-2</v>
      </c>
    </row>
    <row r="19" spans="2:18" x14ac:dyDescent="0.2">
      <c r="B19" s="22"/>
    </row>
    <row r="20" spans="2:18" ht="15" x14ac:dyDescent="0.25">
      <c r="B20" s="22"/>
      <c r="G20" s="1" t="s">
        <v>51</v>
      </c>
    </row>
    <row r="21" spans="2:18" x14ac:dyDescent="0.2">
      <c r="B21" s="22"/>
    </row>
    <row r="22" spans="2:18" x14ac:dyDescent="0.2">
      <c r="B22" s="22"/>
      <c r="G22" s="20"/>
      <c r="H22" s="53">
        <f>H9</f>
        <v>1</v>
      </c>
      <c r="I22" s="53">
        <f t="shared" ref="I22:Q22" si="1">I9</f>
        <v>2</v>
      </c>
      <c r="J22" s="53">
        <f t="shared" si="1"/>
        <v>3</v>
      </c>
      <c r="K22" s="53">
        <f t="shared" si="1"/>
        <v>4</v>
      </c>
      <c r="L22" s="53">
        <f t="shared" si="1"/>
        <v>5</v>
      </c>
      <c r="M22" s="53">
        <f t="shared" si="1"/>
        <v>6</v>
      </c>
      <c r="N22" s="53">
        <f t="shared" si="1"/>
        <v>7</v>
      </c>
      <c r="O22" s="53">
        <f t="shared" si="1"/>
        <v>8</v>
      </c>
      <c r="P22" s="53">
        <f t="shared" si="1"/>
        <v>9</v>
      </c>
      <c r="Q22" s="53">
        <f t="shared" si="1"/>
        <v>10</v>
      </c>
    </row>
    <row r="23" spans="2:18" x14ac:dyDescent="0.2">
      <c r="B23" s="22"/>
      <c r="G23" s="20">
        <f t="array" ref="G23:G32">TRANSPOSE(H22:Q22)</f>
        <v>1</v>
      </c>
      <c r="H23" s="54">
        <v>1</v>
      </c>
      <c r="I23" s="55">
        <v>0.3</v>
      </c>
      <c r="J23" s="55">
        <v>0.4</v>
      </c>
      <c r="K23" s="55">
        <v>0.2</v>
      </c>
      <c r="L23" s="55">
        <v>0.4</v>
      </c>
      <c r="M23" s="55">
        <v>-0.1</v>
      </c>
      <c r="N23" s="55">
        <v>-0.2</v>
      </c>
      <c r="O23" s="55">
        <v>0.2</v>
      </c>
      <c r="P23" s="55">
        <v>0.3</v>
      </c>
      <c r="Q23" s="55">
        <v>0.4</v>
      </c>
      <c r="R23" t="s">
        <v>52</v>
      </c>
    </row>
    <row r="24" spans="2:18" x14ac:dyDescent="0.2">
      <c r="B24" s="22"/>
      <c r="G24" s="20">
        <v>2</v>
      </c>
      <c r="H24" s="55" cm="1">
        <f t="array" ref="H24">INDEX($H$23:$Q$30,H$22,$G24)</f>
        <v>0.3</v>
      </c>
      <c r="I24" s="54">
        <v>1</v>
      </c>
      <c r="J24" s="55">
        <v>0.6</v>
      </c>
      <c r="K24" s="55">
        <v>0.6</v>
      </c>
      <c r="L24" s="55">
        <v>0</v>
      </c>
      <c r="M24" s="55">
        <v>0</v>
      </c>
      <c r="N24" s="55">
        <v>0.1</v>
      </c>
      <c r="O24" s="55">
        <v>-0.2</v>
      </c>
      <c r="P24" s="55">
        <v>-0.2</v>
      </c>
      <c r="Q24" s="55">
        <v>-0.1</v>
      </c>
      <c r="R24" t="s">
        <v>85</v>
      </c>
    </row>
    <row r="25" spans="2:18" x14ac:dyDescent="0.2">
      <c r="B25" s="22"/>
      <c r="G25" s="20">
        <v>3</v>
      </c>
      <c r="H25" s="55" cm="1">
        <f t="array" ref="H25">INDEX($H$23:$Q$32,H$22,$G25)</f>
        <v>0.4</v>
      </c>
      <c r="I25" s="55" cm="1">
        <f t="array" ref="I25">INDEX($H$23:$Q$32,I$22,$G25)</f>
        <v>0.6</v>
      </c>
      <c r="J25" s="54">
        <v>1</v>
      </c>
      <c r="K25" s="55">
        <v>0</v>
      </c>
      <c r="L25" s="55">
        <v>0.4</v>
      </c>
      <c r="M25" s="55">
        <v>0.1</v>
      </c>
      <c r="N25" s="55">
        <v>0.2</v>
      </c>
      <c r="O25" s="55">
        <v>0.4</v>
      </c>
      <c r="P25" s="55">
        <v>0.5</v>
      </c>
      <c r="Q25" s="55">
        <v>0.5</v>
      </c>
      <c r="R25" t="s">
        <v>53</v>
      </c>
    </row>
    <row r="26" spans="2:18" x14ac:dyDescent="0.2">
      <c r="G26" s="20">
        <v>4</v>
      </c>
      <c r="H26" s="55" cm="1">
        <f t="array" ref="H26">INDEX($H$23:$Q$32,H$22,$G26)</f>
        <v>0.2</v>
      </c>
      <c r="I26" s="55" cm="1">
        <f t="array" ref="I26">INDEX($H$23:$Q$32,I$22,$G26)</f>
        <v>0.6</v>
      </c>
      <c r="J26" s="55" cm="1">
        <f t="array" ref="J26">INDEX($H$23:$Q$32,J$22,$G26)</f>
        <v>0</v>
      </c>
      <c r="K26" s="54">
        <v>1</v>
      </c>
      <c r="L26" s="55">
        <v>0.3</v>
      </c>
      <c r="M26" s="55">
        <v>0.6</v>
      </c>
      <c r="N26" s="55">
        <v>0.3</v>
      </c>
      <c r="O26" s="55">
        <v>0.3</v>
      </c>
      <c r="P26" s="55">
        <v>0.7</v>
      </c>
      <c r="Q26" s="55">
        <v>0.5</v>
      </c>
      <c r="R26" t="s">
        <v>54</v>
      </c>
    </row>
    <row r="27" spans="2:18" x14ac:dyDescent="0.2">
      <c r="G27" s="20">
        <v>5</v>
      </c>
      <c r="H27" s="55" cm="1">
        <f t="array" ref="H27">INDEX($H$23:$Q$32,H$22,$G27)</f>
        <v>0.4</v>
      </c>
      <c r="I27" s="55" cm="1">
        <f t="array" ref="I27">INDEX($H$23:$Q$32,I$22,$G27)</f>
        <v>0</v>
      </c>
      <c r="J27" s="55" cm="1">
        <f t="array" ref="J27">INDEX($H$23:$Q$32,J$22,$G27)</f>
        <v>0.4</v>
      </c>
      <c r="K27" s="55" cm="1">
        <f t="array" ref="K27">INDEX($H$23:$Q$32,K$22,$G27)</f>
        <v>0.3</v>
      </c>
      <c r="L27" s="54">
        <v>1</v>
      </c>
      <c r="M27" s="55">
        <v>0</v>
      </c>
      <c r="N27" s="55">
        <v>0.5</v>
      </c>
      <c r="O27" s="55">
        <v>0.5</v>
      </c>
      <c r="P27" s="55">
        <v>0.4</v>
      </c>
      <c r="Q27" s="55">
        <v>0.4</v>
      </c>
      <c r="R27" t="s">
        <v>55</v>
      </c>
    </row>
    <row r="28" spans="2:18" x14ac:dyDescent="0.2">
      <c r="G28" s="20">
        <v>6</v>
      </c>
      <c r="H28" s="55" cm="1">
        <f t="array" ref="H28">INDEX($H$23:$Q$32,H$22,$G28)</f>
        <v>-0.1</v>
      </c>
      <c r="I28" s="55" cm="1">
        <f t="array" ref="I28">INDEX($H$23:$Q$32,I$22,$G28)</f>
        <v>0</v>
      </c>
      <c r="J28" s="55" cm="1">
        <f t="array" ref="J28">INDEX($H$23:$Q$32,J$22,$G28)</f>
        <v>0.1</v>
      </c>
      <c r="K28" s="55" cm="1">
        <f t="array" ref="K28">INDEX($H$23:$Q$32,K$22,$G28)</f>
        <v>0.6</v>
      </c>
      <c r="L28" s="55" cm="1">
        <f t="array" ref="L28">INDEX($H$23:$Q$32,L$22,$G28)</f>
        <v>0</v>
      </c>
      <c r="M28" s="54">
        <v>1</v>
      </c>
      <c r="N28" s="55">
        <v>0.4</v>
      </c>
      <c r="O28" s="55">
        <v>0.4</v>
      </c>
      <c r="P28" s="55">
        <v>0.3</v>
      </c>
      <c r="Q28" s="55">
        <v>0.5</v>
      </c>
      <c r="R28" t="s">
        <v>56</v>
      </c>
    </row>
    <row r="29" spans="2:18" x14ac:dyDescent="0.2">
      <c r="G29" s="20">
        <v>7</v>
      </c>
      <c r="H29" s="55" cm="1">
        <f t="array" ref="H29">INDEX($H$23:$Q$32,H$22,$G29)</f>
        <v>-0.2</v>
      </c>
      <c r="I29" s="55" cm="1">
        <f t="array" ref="I29">INDEX($H$23:$Q$32,I$22,$G29)</f>
        <v>0.1</v>
      </c>
      <c r="J29" s="55" cm="1">
        <f t="array" ref="J29">INDEX($H$23:$Q$32,J$22,$G29)</f>
        <v>0.2</v>
      </c>
      <c r="K29" s="55" cm="1">
        <f t="array" ref="K29">INDEX($H$23:$Q$32,K$22,$G29)</f>
        <v>0.3</v>
      </c>
      <c r="L29" s="55" cm="1">
        <f t="array" ref="L29">INDEX($H$23:$Q$32,L$22,$G29)</f>
        <v>0.5</v>
      </c>
      <c r="M29" s="55" cm="1">
        <f t="array" ref="M29">INDEX($H$23:$Q$32,M$22,$G29)</f>
        <v>0.4</v>
      </c>
      <c r="N29" s="54">
        <v>1</v>
      </c>
      <c r="O29" s="55">
        <v>0.7</v>
      </c>
      <c r="P29" s="55">
        <v>0.5</v>
      </c>
      <c r="Q29" s="55">
        <v>0.6</v>
      </c>
      <c r="R29" t="s">
        <v>59</v>
      </c>
    </row>
    <row r="30" spans="2:18" x14ac:dyDescent="0.2">
      <c r="G30" s="20">
        <v>8</v>
      </c>
      <c r="H30" s="55" cm="1">
        <f t="array" ref="H30">INDEX($H$23:$Q$32,H$22,$G30)</f>
        <v>0.2</v>
      </c>
      <c r="I30" s="55" cm="1">
        <f t="array" ref="I30">INDEX($H$23:$Q$32,I$22,$G30)</f>
        <v>-0.2</v>
      </c>
      <c r="J30" s="55" cm="1">
        <f t="array" ref="J30">INDEX($H$23:$Q$32,J$22,$G30)</f>
        <v>0.4</v>
      </c>
      <c r="K30" s="55" cm="1">
        <f t="array" ref="K30">INDEX($H$23:$Q$32,K$22,$G30)</f>
        <v>0.3</v>
      </c>
      <c r="L30" s="55" cm="1">
        <f t="array" ref="L30">INDEX($H$23:$Q$32,L$22,$G30)</f>
        <v>0.5</v>
      </c>
      <c r="M30" s="55" cm="1">
        <f t="array" ref="M30">INDEX($H$23:$Q$32,M$22,$G30)</f>
        <v>0.4</v>
      </c>
      <c r="N30" s="55" cm="1">
        <f t="array" ref="N30">INDEX($H$23:$Q$32,N$22,$G30)</f>
        <v>0.7</v>
      </c>
      <c r="O30" s="54">
        <v>1</v>
      </c>
      <c r="P30" s="55">
        <v>0.4</v>
      </c>
      <c r="Q30" s="55">
        <v>0.5</v>
      </c>
      <c r="R30" t="s">
        <v>57</v>
      </c>
    </row>
    <row r="31" spans="2:18" x14ac:dyDescent="0.2">
      <c r="G31" s="20">
        <v>9</v>
      </c>
      <c r="H31" s="55" cm="1">
        <f t="array" ref="H31">INDEX($H$23:$Q$32,H$22,$G31)</f>
        <v>0.3</v>
      </c>
      <c r="I31" s="55" cm="1">
        <f t="array" ref="I31">INDEX($H$23:$Q$32,I$22,$G31)</f>
        <v>-0.2</v>
      </c>
      <c r="J31" s="55" cm="1">
        <f t="array" ref="J31">INDEX($H$23:$Q$32,J$22,$G31)</f>
        <v>0.5</v>
      </c>
      <c r="K31" s="55" cm="1">
        <f t="array" ref="K31">INDEX($H$23:$Q$32,K$22,$G31)</f>
        <v>0.7</v>
      </c>
      <c r="L31" s="55" cm="1">
        <f t="array" ref="L31">INDEX($H$23:$Q$32,L$22,$G31)</f>
        <v>0.4</v>
      </c>
      <c r="M31" s="55" cm="1">
        <f t="array" ref="M31">INDEX($H$23:$Q$32,M$22,$G31)</f>
        <v>0.3</v>
      </c>
      <c r="N31" s="55" cm="1">
        <f t="array" ref="N31">INDEX($H$23:$Q$32,N$22,$G31)</f>
        <v>0.5</v>
      </c>
      <c r="O31" s="55" cm="1">
        <f t="array" ref="O31">INDEX($H$23:$Q$32,O$22,$G31)</f>
        <v>0.4</v>
      </c>
      <c r="P31" s="54">
        <v>1</v>
      </c>
      <c r="Q31" s="55">
        <v>0.8</v>
      </c>
      <c r="R31" t="s">
        <v>58</v>
      </c>
    </row>
    <row r="32" spans="2:18" x14ac:dyDescent="0.2">
      <c r="G32" s="20">
        <v>10</v>
      </c>
      <c r="H32" s="55" cm="1">
        <f t="array" ref="H32">INDEX($H$23:$Q$32,H$22,$G32)</f>
        <v>0.4</v>
      </c>
      <c r="I32" s="55" cm="1">
        <f t="array" ref="I32">INDEX($H$23:$Q$32,I$22,$G32)</f>
        <v>-0.1</v>
      </c>
      <c r="J32" s="55" cm="1">
        <f t="array" ref="J32">INDEX($H$23:$Q$32,J$22,$G32)</f>
        <v>0.5</v>
      </c>
      <c r="K32" s="55" cm="1">
        <f t="array" ref="K32">INDEX($H$23:$Q$32,K$22,$G32)</f>
        <v>0.5</v>
      </c>
      <c r="L32" s="55" cm="1">
        <f t="array" ref="L32">INDEX($H$23:$Q$32,L$22,$G32)</f>
        <v>0.4</v>
      </c>
      <c r="M32" s="55" cm="1">
        <f t="array" ref="M32">INDEX($H$23:$Q$32,M$22,$G32)</f>
        <v>0.5</v>
      </c>
      <c r="N32" s="55" cm="1">
        <f t="array" ref="N32">INDEX($H$23:$Q$32,N$22,$G32)</f>
        <v>0.6</v>
      </c>
      <c r="O32" s="55" cm="1">
        <f t="array" ref="O32">INDEX($H$23:$Q$32,O$22,$G32)</f>
        <v>0.5</v>
      </c>
      <c r="P32" s="55" cm="1">
        <f t="array" ref="P32">INDEX($H$23:$Q$32,P$22,$G32)</f>
        <v>0.8</v>
      </c>
      <c r="Q32" s="54">
        <v>1</v>
      </c>
      <c r="R32" t="s">
        <v>86</v>
      </c>
    </row>
    <row r="34" spans="7:16" ht="15" outlineLevel="1" x14ac:dyDescent="0.25">
      <c r="G34" s="1" t="s">
        <v>65</v>
      </c>
    </row>
    <row r="35" spans="7:16" outlineLevel="1" x14ac:dyDescent="0.2"/>
    <row r="36" spans="7:16" outlineLevel="1" x14ac:dyDescent="0.2">
      <c r="G36" t="s">
        <v>87</v>
      </c>
    </row>
    <row r="37" spans="7:16" outlineLevel="1" x14ac:dyDescent="0.2">
      <c r="G37" s="56">
        <f t="shared" ref="G37:G46" si="2">IF($G23 = H$9,H$11,0)</f>
        <v>5.0000000000000001E-3</v>
      </c>
      <c r="H37" s="56">
        <f t="shared" ref="H37:P46" si="3">IF($G23 = I$9,I$11,0)</f>
        <v>0</v>
      </c>
      <c r="I37" s="56">
        <f t="shared" si="3"/>
        <v>0</v>
      </c>
      <c r="J37" s="56">
        <f t="shared" si="3"/>
        <v>0</v>
      </c>
      <c r="K37" s="56">
        <f t="shared" si="3"/>
        <v>0</v>
      </c>
      <c r="L37" s="56">
        <f t="shared" si="3"/>
        <v>0</v>
      </c>
      <c r="M37" s="56">
        <f t="shared" si="3"/>
        <v>0</v>
      </c>
      <c r="N37" s="56">
        <f t="shared" si="3"/>
        <v>0</v>
      </c>
      <c r="O37" s="56">
        <f t="shared" si="3"/>
        <v>0</v>
      </c>
      <c r="P37" s="56">
        <f t="shared" si="3"/>
        <v>0</v>
      </c>
    </row>
    <row r="38" spans="7:16" outlineLevel="1" x14ac:dyDescent="0.2">
      <c r="G38" s="56">
        <f t="shared" si="2"/>
        <v>0</v>
      </c>
      <c r="H38" s="56">
        <f t="shared" si="3"/>
        <v>0.04</v>
      </c>
      <c r="I38" s="56">
        <f t="shared" si="3"/>
        <v>0</v>
      </c>
      <c r="J38" s="56">
        <f t="shared" si="3"/>
        <v>0</v>
      </c>
      <c r="K38" s="56">
        <f t="shared" si="3"/>
        <v>0</v>
      </c>
      <c r="L38" s="56">
        <f t="shared" si="3"/>
        <v>0</v>
      </c>
      <c r="M38" s="56">
        <f t="shared" si="3"/>
        <v>0</v>
      </c>
      <c r="N38" s="56">
        <f t="shared" si="3"/>
        <v>0</v>
      </c>
      <c r="O38" s="56">
        <f t="shared" si="3"/>
        <v>0</v>
      </c>
      <c r="P38" s="56">
        <f t="shared" si="3"/>
        <v>0</v>
      </c>
    </row>
    <row r="39" spans="7:16" outlineLevel="1" x14ac:dyDescent="0.2">
      <c r="G39" s="56">
        <f t="shared" si="2"/>
        <v>0</v>
      </c>
      <c r="H39" s="56">
        <f t="shared" si="3"/>
        <v>0</v>
      </c>
      <c r="I39" s="56">
        <f t="shared" si="3"/>
        <v>4.3999999999999997E-2</v>
      </c>
      <c r="J39" s="56">
        <f t="shared" si="3"/>
        <v>0</v>
      </c>
      <c r="K39" s="56">
        <f t="shared" si="3"/>
        <v>0</v>
      </c>
      <c r="L39" s="56">
        <f t="shared" si="3"/>
        <v>0</v>
      </c>
      <c r="M39" s="56">
        <f t="shared" si="3"/>
        <v>0</v>
      </c>
      <c r="N39" s="56">
        <f t="shared" si="3"/>
        <v>0</v>
      </c>
      <c r="O39" s="56">
        <f t="shared" si="3"/>
        <v>0</v>
      </c>
      <c r="P39" s="56">
        <f t="shared" si="3"/>
        <v>0</v>
      </c>
    </row>
    <row r="40" spans="7:16" outlineLevel="1" x14ac:dyDescent="0.2">
      <c r="G40" s="56">
        <f t="shared" si="2"/>
        <v>0</v>
      </c>
      <c r="H40" s="56">
        <f t="shared" si="3"/>
        <v>0</v>
      </c>
      <c r="I40" s="56">
        <f t="shared" si="3"/>
        <v>0</v>
      </c>
      <c r="J40" s="56">
        <f t="shared" si="3"/>
        <v>0.05</v>
      </c>
      <c r="K40" s="56">
        <f t="shared" si="3"/>
        <v>0</v>
      </c>
      <c r="L40" s="56">
        <f t="shared" si="3"/>
        <v>0</v>
      </c>
      <c r="M40" s="56">
        <f t="shared" si="3"/>
        <v>0</v>
      </c>
      <c r="N40" s="56">
        <f t="shared" si="3"/>
        <v>0</v>
      </c>
      <c r="O40" s="56">
        <f t="shared" si="3"/>
        <v>0</v>
      </c>
      <c r="P40" s="56">
        <f t="shared" si="3"/>
        <v>0</v>
      </c>
    </row>
    <row r="41" spans="7:16" outlineLevel="1" x14ac:dyDescent="0.2">
      <c r="G41" s="56">
        <f t="shared" si="2"/>
        <v>0</v>
      </c>
      <c r="H41" s="56">
        <f t="shared" si="3"/>
        <v>0</v>
      </c>
      <c r="I41" s="56">
        <f t="shared" si="3"/>
        <v>0</v>
      </c>
      <c r="J41" s="56">
        <f t="shared" si="3"/>
        <v>0</v>
      </c>
      <c r="K41" s="56">
        <f t="shared" si="3"/>
        <v>5.1999999999999998E-2</v>
      </c>
      <c r="L41" s="56">
        <f t="shared" si="3"/>
        <v>0</v>
      </c>
      <c r="M41" s="56">
        <f t="shared" si="3"/>
        <v>0</v>
      </c>
      <c r="N41" s="56">
        <f t="shared" si="3"/>
        <v>0</v>
      </c>
      <c r="O41" s="56">
        <f t="shared" si="3"/>
        <v>0</v>
      </c>
      <c r="P41" s="56">
        <f t="shared" si="3"/>
        <v>0</v>
      </c>
    </row>
    <row r="42" spans="7:16" outlineLevel="1" x14ac:dyDescent="0.2">
      <c r="G42" s="56">
        <f t="shared" si="2"/>
        <v>0</v>
      </c>
      <c r="H42" s="56">
        <f t="shared" si="3"/>
        <v>0</v>
      </c>
      <c r="I42" s="56">
        <f t="shared" si="3"/>
        <v>0</v>
      </c>
      <c r="J42" s="56">
        <f t="shared" si="3"/>
        <v>0</v>
      </c>
      <c r="K42" s="56">
        <f t="shared" si="3"/>
        <v>0</v>
      </c>
      <c r="L42" s="56">
        <f t="shared" si="3"/>
        <v>6.4000000000000001E-2</v>
      </c>
      <c r="M42" s="56">
        <f t="shared" si="3"/>
        <v>0</v>
      </c>
      <c r="N42" s="56">
        <f t="shared" si="3"/>
        <v>0</v>
      </c>
      <c r="O42" s="56">
        <f t="shared" si="3"/>
        <v>0</v>
      </c>
      <c r="P42" s="56">
        <f t="shared" si="3"/>
        <v>0</v>
      </c>
    </row>
    <row r="43" spans="7:16" outlineLevel="1" x14ac:dyDescent="0.2">
      <c r="G43" s="56">
        <f t="shared" si="2"/>
        <v>0</v>
      </c>
      <c r="H43" s="56">
        <f t="shared" si="3"/>
        <v>0</v>
      </c>
      <c r="I43" s="56">
        <f t="shared" si="3"/>
        <v>0</v>
      </c>
      <c r="J43" s="56">
        <f t="shared" si="3"/>
        <v>0</v>
      </c>
      <c r="K43" s="56">
        <f t="shared" si="3"/>
        <v>0</v>
      </c>
      <c r="L43" s="56">
        <f t="shared" si="3"/>
        <v>0</v>
      </c>
      <c r="M43" s="56">
        <f t="shared" si="3"/>
        <v>0.115</v>
      </c>
      <c r="N43" s="56">
        <f t="shared" si="3"/>
        <v>0</v>
      </c>
      <c r="O43" s="56">
        <f t="shared" si="3"/>
        <v>0</v>
      </c>
      <c r="P43" s="56">
        <f t="shared" si="3"/>
        <v>0</v>
      </c>
    </row>
    <row r="44" spans="7:16" outlineLevel="1" x14ac:dyDescent="0.2">
      <c r="G44" s="56">
        <f t="shared" si="2"/>
        <v>0</v>
      </c>
      <c r="H44" s="56">
        <f t="shared" si="3"/>
        <v>0</v>
      </c>
      <c r="I44" s="56">
        <f t="shared" si="3"/>
        <v>0</v>
      </c>
      <c r="J44" s="56">
        <f t="shared" si="3"/>
        <v>0</v>
      </c>
      <c r="K44" s="56">
        <f t="shared" si="3"/>
        <v>0</v>
      </c>
      <c r="L44" s="56">
        <f t="shared" si="3"/>
        <v>0</v>
      </c>
      <c r="M44" s="56">
        <f t="shared" si="3"/>
        <v>0</v>
      </c>
      <c r="N44" s="56">
        <f t="shared" si="3"/>
        <v>0.13</v>
      </c>
      <c r="O44" s="56">
        <f t="shared" si="3"/>
        <v>0</v>
      </c>
      <c r="P44" s="56">
        <f t="shared" si="3"/>
        <v>0</v>
      </c>
    </row>
    <row r="45" spans="7:16" outlineLevel="1" x14ac:dyDescent="0.2">
      <c r="G45" s="56">
        <f t="shared" si="2"/>
        <v>0</v>
      </c>
      <c r="H45" s="56">
        <f t="shared" si="3"/>
        <v>0</v>
      </c>
      <c r="I45" s="56">
        <f t="shared" si="3"/>
        <v>0</v>
      </c>
      <c r="J45" s="56">
        <f t="shared" si="3"/>
        <v>0</v>
      </c>
      <c r="K45" s="56">
        <f t="shared" si="3"/>
        <v>0</v>
      </c>
      <c r="L45" s="56">
        <f t="shared" si="3"/>
        <v>0</v>
      </c>
      <c r="M45" s="56">
        <f t="shared" si="3"/>
        <v>0</v>
      </c>
      <c r="N45" s="56">
        <f t="shared" si="3"/>
        <v>0</v>
      </c>
      <c r="O45" s="56">
        <f t="shared" si="3"/>
        <v>0.15</v>
      </c>
      <c r="P45" s="56">
        <f t="shared" si="3"/>
        <v>0</v>
      </c>
    </row>
    <row r="46" spans="7:16" outlineLevel="1" x14ac:dyDescent="0.2">
      <c r="G46" s="56">
        <f t="shared" si="2"/>
        <v>0</v>
      </c>
      <c r="H46" s="56">
        <f t="shared" si="3"/>
        <v>0</v>
      </c>
      <c r="I46" s="56">
        <f t="shared" si="3"/>
        <v>0</v>
      </c>
      <c r="J46" s="56">
        <f t="shared" si="3"/>
        <v>0</v>
      </c>
      <c r="K46" s="56">
        <f t="shared" si="3"/>
        <v>0</v>
      </c>
      <c r="L46" s="56">
        <f t="shared" si="3"/>
        <v>0</v>
      </c>
      <c r="M46" s="56">
        <f t="shared" si="3"/>
        <v>0</v>
      </c>
      <c r="N46" s="56">
        <f t="shared" si="3"/>
        <v>0</v>
      </c>
      <c r="O46" s="56">
        <f t="shared" si="3"/>
        <v>0</v>
      </c>
      <c r="P46" s="56">
        <f t="shared" si="3"/>
        <v>0.14000000000000001</v>
      </c>
    </row>
    <row r="47" spans="7:16" outlineLevel="1" x14ac:dyDescent="0.2">
      <c r="N47" s="22"/>
    </row>
    <row r="48" spans="7:16" outlineLevel="1" x14ac:dyDescent="0.2">
      <c r="G48" t="s">
        <v>66</v>
      </c>
    </row>
    <row r="49" spans="2:17" outlineLevel="1" x14ac:dyDescent="0.2">
      <c r="G49" s="57" cm="1">
        <f t="array" ref="G49:P58">MMULT(MMULT(G37:P46,H23:Q32),G37:P46)</f>
        <v>2.5000000000000001E-5</v>
      </c>
      <c r="H49" s="57">
        <v>6.0000000000000002E-5</v>
      </c>
      <c r="I49" s="57">
        <v>8.7999999999999998E-5</v>
      </c>
      <c r="J49" s="57">
        <v>5.0000000000000002E-5</v>
      </c>
      <c r="K49" s="57">
        <v>1.0399999999999999E-4</v>
      </c>
      <c r="L49" s="57">
        <v>-3.1999999999999999E-5</v>
      </c>
      <c r="M49" s="57">
        <v>-1.15E-4</v>
      </c>
      <c r="N49" s="57">
        <v>1.3000000000000002E-4</v>
      </c>
      <c r="O49" s="9">
        <v>2.2499999999999999E-4</v>
      </c>
      <c r="P49" s="9">
        <v>2.8000000000000003E-4</v>
      </c>
    </row>
    <row r="50" spans="2:17" outlineLevel="1" x14ac:dyDescent="0.2">
      <c r="G50" s="57">
        <v>6.0000000000000002E-5</v>
      </c>
      <c r="H50" s="57">
        <v>1.6000000000000001E-3</v>
      </c>
      <c r="I50" s="57">
        <v>1.0559999999999999E-3</v>
      </c>
      <c r="J50" s="57">
        <v>1.2000000000000001E-3</v>
      </c>
      <c r="K50" s="57">
        <v>0</v>
      </c>
      <c r="L50" s="57">
        <v>0</v>
      </c>
      <c r="M50" s="57">
        <v>4.6000000000000001E-4</v>
      </c>
      <c r="N50" s="57">
        <v>-1.0400000000000001E-3</v>
      </c>
      <c r="O50" s="9">
        <v>-1.1999999999999999E-3</v>
      </c>
      <c r="P50" s="9">
        <v>-5.6000000000000006E-4</v>
      </c>
      <c r="Q50" s="3"/>
    </row>
    <row r="51" spans="2:17" outlineLevel="1" x14ac:dyDescent="0.2">
      <c r="G51" s="57">
        <v>8.8000000000000011E-5</v>
      </c>
      <c r="H51" s="57">
        <v>1.0559999999999999E-3</v>
      </c>
      <c r="I51" s="57">
        <v>1.9359999999999998E-3</v>
      </c>
      <c r="J51" s="57">
        <v>0</v>
      </c>
      <c r="K51" s="57">
        <v>9.1520000000000002E-4</v>
      </c>
      <c r="L51" s="57">
        <v>2.8160000000000001E-4</v>
      </c>
      <c r="M51" s="57">
        <v>1.0120000000000001E-3</v>
      </c>
      <c r="N51" s="57">
        <v>2.2880000000000001E-3</v>
      </c>
      <c r="O51" s="9">
        <v>3.2999999999999995E-3</v>
      </c>
      <c r="P51" s="9">
        <v>3.0800000000000003E-3</v>
      </c>
    </row>
    <row r="52" spans="2:17" outlineLevel="1" x14ac:dyDescent="0.2">
      <c r="G52" s="57">
        <v>5.0000000000000009E-5</v>
      </c>
      <c r="H52" s="57">
        <v>1.1999999999999999E-3</v>
      </c>
      <c r="I52" s="57">
        <v>0</v>
      </c>
      <c r="J52" s="57">
        <v>2.5000000000000005E-3</v>
      </c>
      <c r="K52" s="57">
        <v>7.7999999999999999E-4</v>
      </c>
      <c r="L52" s="57">
        <v>1.92E-3</v>
      </c>
      <c r="M52" s="57">
        <v>1.725E-3</v>
      </c>
      <c r="N52" s="57">
        <v>1.9499999999999999E-3</v>
      </c>
      <c r="O52" s="9">
        <v>5.2499999999999995E-3</v>
      </c>
      <c r="P52" s="9">
        <v>3.5000000000000005E-3</v>
      </c>
    </row>
    <row r="53" spans="2:17" outlineLevel="1" x14ac:dyDescent="0.2">
      <c r="G53" s="57">
        <v>1.0399999999999999E-4</v>
      </c>
      <c r="H53" s="57">
        <v>0</v>
      </c>
      <c r="I53" s="57">
        <v>9.1519999999999991E-4</v>
      </c>
      <c r="J53" s="57">
        <v>7.7999999999999999E-4</v>
      </c>
      <c r="K53" s="57">
        <v>2.7039999999999998E-3</v>
      </c>
      <c r="L53" s="57">
        <v>0</v>
      </c>
      <c r="M53" s="57">
        <v>2.99E-3</v>
      </c>
      <c r="N53" s="57">
        <v>3.3799999999999998E-3</v>
      </c>
      <c r="O53" s="9">
        <v>3.1199999999999999E-3</v>
      </c>
      <c r="P53" s="9">
        <v>2.9120000000000001E-3</v>
      </c>
    </row>
    <row r="54" spans="2:17" outlineLevel="1" x14ac:dyDescent="0.2">
      <c r="G54" s="57">
        <v>-3.2000000000000005E-5</v>
      </c>
      <c r="H54" s="57">
        <v>0</v>
      </c>
      <c r="I54" s="57">
        <v>2.8160000000000001E-4</v>
      </c>
      <c r="J54" s="57">
        <v>1.9199999999999998E-3</v>
      </c>
      <c r="K54" s="57">
        <v>0</v>
      </c>
      <c r="L54" s="57">
        <v>4.0959999999999998E-3</v>
      </c>
      <c r="M54" s="57">
        <v>2.9440000000000004E-3</v>
      </c>
      <c r="N54" s="57">
        <v>3.3280000000000002E-3</v>
      </c>
      <c r="O54" s="9">
        <v>2.8799999999999997E-3</v>
      </c>
      <c r="P54" s="9">
        <v>4.4800000000000005E-3</v>
      </c>
    </row>
    <row r="55" spans="2:17" outlineLevel="1" x14ac:dyDescent="0.2">
      <c r="G55" s="57">
        <v>-1.1500000000000002E-4</v>
      </c>
      <c r="H55" s="57">
        <v>4.6000000000000007E-4</v>
      </c>
      <c r="I55" s="57">
        <v>1.0120000000000001E-3</v>
      </c>
      <c r="J55" s="57">
        <v>1.7250000000000002E-3</v>
      </c>
      <c r="K55" s="57">
        <v>2.99E-3</v>
      </c>
      <c r="L55" s="57">
        <v>2.9440000000000004E-3</v>
      </c>
      <c r="M55" s="57">
        <v>1.3225000000000001E-2</v>
      </c>
      <c r="N55" s="57">
        <v>1.0465E-2</v>
      </c>
      <c r="O55" s="9">
        <v>8.6250000000000007E-3</v>
      </c>
      <c r="P55" s="9">
        <v>9.6600000000000019E-3</v>
      </c>
    </row>
    <row r="56" spans="2:17" outlineLevel="1" x14ac:dyDescent="0.2">
      <c r="G56" s="57">
        <v>1.3000000000000002E-4</v>
      </c>
      <c r="H56" s="57">
        <v>-1.0400000000000001E-3</v>
      </c>
      <c r="I56" s="57">
        <v>2.2880000000000001E-3</v>
      </c>
      <c r="J56" s="57">
        <v>1.9500000000000001E-3</v>
      </c>
      <c r="K56" s="57">
        <v>3.3799999999999998E-3</v>
      </c>
      <c r="L56" s="57">
        <v>3.3280000000000002E-3</v>
      </c>
      <c r="M56" s="57">
        <v>1.0465E-2</v>
      </c>
      <c r="N56" s="57">
        <v>1.6900000000000002E-2</v>
      </c>
      <c r="O56" s="9">
        <v>7.8000000000000005E-3</v>
      </c>
      <c r="P56" s="9">
        <v>9.1000000000000004E-3</v>
      </c>
    </row>
    <row r="57" spans="2:17" x14ac:dyDescent="0.2">
      <c r="G57" s="9">
        <v>2.2499999999999999E-4</v>
      </c>
      <c r="H57" s="9">
        <v>-1.1999999999999999E-3</v>
      </c>
      <c r="I57" s="9">
        <v>3.2999999999999995E-3</v>
      </c>
      <c r="J57" s="9">
        <v>5.2500000000000003E-3</v>
      </c>
      <c r="K57" s="9">
        <v>3.1199999999999999E-3</v>
      </c>
      <c r="L57" s="9">
        <v>2.8799999999999997E-3</v>
      </c>
      <c r="M57" s="9">
        <v>8.6250000000000007E-3</v>
      </c>
      <c r="N57" s="9">
        <v>7.7999999999999996E-3</v>
      </c>
      <c r="O57" s="9">
        <v>2.2499999999999999E-2</v>
      </c>
      <c r="P57" s="9">
        <v>1.6800000000000002E-2</v>
      </c>
    </row>
    <row r="58" spans="2:17" x14ac:dyDescent="0.2">
      <c r="G58" s="9">
        <v>2.8000000000000003E-4</v>
      </c>
      <c r="H58" s="9">
        <v>-5.6000000000000006E-4</v>
      </c>
      <c r="I58" s="9">
        <v>3.0800000000000003E-3</v>
      </c>
      <c r="J58" s="9">
        <v>3.5000000000000005E-3</v>
      </c>
      <c r="K58" s="9">
        <v>2.9120000000000001E-3</v>
      </c>
      <c r="L58" s="9">
        <v>4.4800000000000005E-3</v>
      </c>
      <c r="M58" s="9">
        <v>9.6600000000000002E-3</v>
      </c>
      <c r="N58" s="9">
        <v>9.1000000000000004E-3</v>
      </c>
      <c r="O58" s="9">
        <v>1.6800000000000002E-2</v>
      </c>
      <c r="P58" s="9">
        <v>1.9600000000000003E-2</v>
      </c>
    </row>
    <row r="61" spans="2:17" ht="15" x14ac:dyDescent="0.25">
      <c r="B61" s="1" t="s">
        <v>92</v>
      </c>
    </row>
    <row r="62" spans="2:17" x14ac:dyDescent="0.2">
      <c r="B62" t="s">
        <v>77</v>
      </c>
    </row>
    <row r="63" spans="2:17" x14ac:dyDescent="0.2">
      <c r="B63" t="s">
        <v>79</v>
      </c>
    </row>
    <row r="64" spans="2:17" x14ac:dyDescent="0.2">
      <c r="B64" t="s">
        <v>88</v>
      </c>
    </row>
    <row r="65" spans="2:14" x14ac:dyDescent="0.2">
      <c r="B65" s="3" t="s">
        <v>89</v>
      </c>
    </row>
    <row r="66" spans="2:14" x14ac:dyDescent="0.2">
      <c r="B66" s="3" t="s">
        <v>90</v>
      </c>
    </row>
    <row r="67" spans="2:14" x14ac:dyDescent="0.2">
      <c r="B67" s="3" t="s">
        <v>91</v>
      </c>
    </row>
    <row r="69" spans="2:14" ht="15" x14ac:dyDescent="0.25">
      <c r="E69" s="1" t="s">
        <v>74</v>
      </c>
      <c r="J69" s="77" t="s">
        <v>73</v>
      </c>
      <c r="K69" s="77"/>
      <c r="L69" s="21"/>
      <c r="M69" s="21"/>
      <c r="N69" s="21"/>
    </row>
    <row r="70" spans="2:14" ht="38.25" x14ac:dyDescent="0.2">
      <c r="F70" s="58" t="s">
        <v>72</v>
      </c>
      <c r="G70" s="59" t="s">
        <v>78</v>
      </c>
      <c r="H70" s="60" t="s">
        <v>49</v>
      </c>
      <c r="I70" s="60" t="s">
        <v>50</v>
      </c>
      <c r="J70" s="61" t="s">
        <v>75</v>
      </c>
      <c r="K70" s="61" t="s">
        <v>76</v>
      </c>
      <c r="L70" s="62"/>
      <c r="M70" s="62"/>
      <c r="N70" s="62"/>
    </row>
    <row r="71" spans="2:14" x14ac:dyDescent="0.2">
      <c r="F71">
        <f t="shared" ref="F71:F80" si="4">G23</f>
        <v>1</v>
      </c>
      <c r="G71" s="63">
        <v>5</v>
      </c>
      <c r="H71" s="64" cm="1">
        <f t="array" ref="H71:H80">TRANSPOSE(H10:Q10)</f>
        <v>0.03</v>
      </c>
      <c r="I71" s="64" cm="1">
        <f t="array" ref="I71:I80">TRANSPOSE(H11:Q11)</f>
        <v>5.0000000000000001E-3</v>
      </c>
      <c r="J71" s="65">
        <v>0</v>
      </c>
      <c r="K71" s="65">
        <v>5</v>
      </c>
    </row>
    <row r="72" spans="2:14" x14ac:dyDescent="0.2">
      <c r="F72">
        <f t="shared" si="4"/>
        <v>2</v>
      </c>
      <c r="G72" s="63">
        <v>58.541001387647654</v>
      </c>
      <c r="H72" s="64">
        <v>3.5000000000000003E-2</v>
      </c>
      <c r="I72" s="64">
        <v>0.04</v>
      </c>
      <c r="J72" s="65">
        <v>-20</v>
      </c>
      <c r="K72" s="65">
        <v>70</v>
      </c>
    </row>
    <row r="73" spans="2:14" x14ac:dyDescent="0.2">
      <c r="F73">
        <f t="shared" si="4"/>
        <v>3</v>
      </c>
      <c r="G73" s="63">
        <v>-20.000059265850489</v>
      </c>
      <c r="H73" s="64">
        <v>3.7999999999999999E-2</v>
      </c>
      <c r="I73" s="64">
        <v>4.3999999999999997E-2</v>
      </c>
      <c r="J73" s="65">
        <v>-20</v>
      </c>
      <c r="K73" s="65">
        <v>70</v>
      </c>
    </row>
    <row r="74" spans="2:14" x14ac:dyDescent="0.2">
      <c r="F74">
        <f t="shared" si="4"/>
        <v>4</v>
      </c>
      <c r="G74" s="63">
        <v>0</v>
      </c>
      <c r="H74" s="64">
        <v>4.2000000000000003E-2</v>
      </c>
      <c r="I74" s="64">
        <v>0.05</v>
      </c>
      <c r="J74" s="65">
        <v>0</v>
      </c>
      <c r="K74" s="65">
        <v>70</v>
      </c>
    </row>
    <row r="75" spans="2:14" x14ac:dyDescent="0.2">
      <c r="F75">
        <f t="shared" si="4"/>
        <v>5</v>
      </c>
      <c r="G75" s="63">
        <v>15.844365782721763</v>
      </c>
      <c r="H75" s="64">
        <v>4.4999999999999998E-2</v>
      </c>
      <c r="I75" s="64">
        <v>5.1999999999999998E-2</v>
      </c>
      <c r="J75" s="65">
        <v>0</v>
      </c>
      <c r="K75" s="65">
        <v>70</v>
      </c>
    </row>
    <row r="76" spans="2:14" x14ac:dyDescent="0.2">
      <c r="F76">
        <f t="shared" si="4"/>
        <v>6</v>
      </c>
      <c r="G76" s="63">
        <v>9.2528677493711005</v>
      </c>
      <c r="H76" s="64">
        <v>0.05</v>
      </c>
      <c r="I76" s="64">
        <v>6.4000000000000001E-2</v>
      </c>
      <c r="J76" s="65">
        <v>0</v>
      </c>
      <c r="K76" s="65">
        <v>70</v>
      </c>
    </row>
    <row r="77" spans="2:14" x14ac:dyDescent="0.2">
      <c r="F77">
        <f t="shared" si="4"/>
        <v>7</v>
      </c>
      <c r="G77" s="63">
        <v>-15.149643689483565</v>
      </c>
      <c r="H77" s="64">
        <v>0.09</v>
      </c>
      <c r="I77" s="64">
        <v>0.115</v>
      </c>
      <c r="J77" s="65">
        <v>-50</v>
      </c>
      <c r="K77" s="65">
        <v>70</v>
      </c>
    </row>
    <row r="78" spans="2:14" x14ac:dyDescent="0.2">
      <c r="F78">
        <f t="shared" si="4"/>
        <v>8</v>
      </c>
      <c r="G78" s="63">
        <v>11.946016563094403</v>
      </c>
      <c r="H78" s="64">
        <v>0.1</v>
      </c>
      <c r="I78" s="64">
        <v>0.13</v>
      </c>
      <c r="J78" s="65">
        <v>-50</v>
      </c>
      <c r="K78" s="65">
        <v>70</v>
      </c>
    </row>
    <row r="79" spans="2:14" x14ac:dyDescent="0.2">
      <c r="F79">
        <f t="shared" si="4"/>
        <v>9</v>
      </c>
      <c r="G79" s="63">
        <v>9.9346483731628634</v>
      </c>
      <c r="H79" s="64">
        <v>0.13</v>
      </c>
      <c r="I79" s="64">
        <v>0.15</v>
      </c>
      <c r="J79" s="65">
        <v>-50</v>
      </c>
      <c r="K79" s="65">
        <v>70</v>
      </c>
    </row>
    <row r="80" spans="2:14" x14ac:dyDescent="0.2">
      <c r="F80">
        <f t="shared" si="4"/>
        <v>10</v>
      </c>
      <c r="G80" s="63">
        <v>-0.36919834887126229</v>
      </c>
      <c r="H80" s="64">
        <v>0.125</v>
      </c>
      <c r="I80" s="64">
        <v>0.14000000000000001</v>
      </c>
      <c r="J80" s="65">
        <v>-50</v>
      </c>
      <c r="K80" s="65">
        <v>70</v>
      </c>
    </row>
    <row r="81" spans="7:16" x14ac:dyDescent="0.2">
      <c r="G81" s="66">
        <f>SUM(G71:G80)</f>
        <v>74.999998551792459</v>
      </c>
      <c r="H81" s="67" t="s">
        <v>80</v>
      </c>
      <c r="I81" s="67"/>
      <c r="J81" s="68">
        <v>75</v>
      </c>
      <c r="K81" s="69"/>
    </row>
    <row r="82" spans="7:16" x14ac:dyDescent="0.2">
      <c r="H82" s="22"/>
      <c r="I82" s="22"/>
    </row>
    <row r="84" spans="7:16" ht="15" x14ac:dyDescent="0.25">
      <c r="G84" s="1" t="s">
        <v>60</v>
      </c>
      <c r="J84" s="21" t="s">
        <v>62</v>
      </c>
    </row>
    <row r="85" spans="7:16" x14ac:dyDescent="0.2">
      <c r="G85" s="26" t="s">
        <v>49</v>
      </c>
      <c r="H85" s="27"/>
      <c r="I85" s="27"/>
      <c r="J85" s="70">
        <f>SUMPRODUCT(G71:G80,_xlfn.ANCHORARRAY(H71))</f>
        <v>3.6910608633145681</v>
      </c>
    </row>
    <row r="86" spans="7:16" x14ac:dyDescent="0.2">
      <c r="G86" s="28" t="s">
        <v>64</v>
      </c>
      <c r="H86" s="8"/>
      <c r="I86" s="8"/>
      <c r="J86" s="71" cm="1">
        <f t="array" ref="J86">SQRT(MMULT(TRANSPOSE(G71:G80),MMULT(G49:P58,G71:G80)))</f>
        <v>1.752642895956501</v>
      </c>
    </row>
    <row r="87" spans="7:16" x14ac:dyDescent="0.2">
      <c r="P87">
        <v>2.1059999999999999</v>
      </c>
    </row>
    <row r="88" spans="7:16" ht="15" x14ac:dyDescent="0.25">
      <c r="G88" s="1" t="s">
        <v>81</v>
      </c>
      <c r="H88" s="1"/>
      <c r="I88" s="1"/>
      <c r="J88" s="29">
        <f>J85/J86</f>
        <v>2.1059971040479297</v>
      </c>
    </row>
  </sheetData>
  <mergeCells count="2">
    <mergeCell ref="C12:C13"/>
    <mergeCell ref="J69:K69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E41"/>
  <sheetViews>
    <sheetView workbookViewId="0"/>
  </sheetViews>
  <sheetFormatPr defaultRowHeight="15" x14ac:dyDescent="0.2"/>
  <cols>
    <col min="2" max="2" width="55.875" customWidth="1"/>
    <col min="3" max="3" width="7.75" customWidth="1"/>
    <col min="4" max="4" width="13.75" customWidth="1"/>
    <col min="5" max="5" width="12" customWidth="1"/>
  </cols>
  <sheetData>
    <row r="3" spans="2:5" ht="18.75" x14ac:dyDescent="0.3">
      <c r="B3" s="73" t="s">
        <v>94</v>
      </c>
      <c r="C3" s="73" t="s">
        <v>95</v>
      </c>
      <c r="D3" s="73" t="s">
        <v>96</v>
      </c>
      <c r="E3" s="73" t="s">
        <v>97</v>
      </c>
    </row>
    <row r="4" spans="2:5" ht="14.25" x14ac:dyDescent="0.2">
      <c r="B4" t="s">
        <v>98</v>
      </c>
      <c r="C4">
        <v>5</v>
      </c>
      <c r="D4">
        <v>5</v>
      </c>
    </row>
    <row r="5" spans="2:5" ht="14.25" x14ac:dyDescent="0.2">
      <c r="B5" t="s">
        <v>99</v>
      </c>
      <c r="C5">
        <v>1</v>
      </c>
      <c r="D5">
        <v>1</v>
      </c>
    </row>
    <row r="6" spans="2:5" ht="14.25" x14ac:dyDescent="0.2">
      <c r="B6" t="s">
        <v>100</v>
      </c>
      <c r="C6">
        <v>1</v>
      </c>
      <c r="D6">
        <v>1</v>
      </c>
    </row>
    <row r="7" spans="2:5" ht="14.25" x14ac:dyDescent="0.2">
      <c r="B7" t="s">
        <v>101</v>
      </c>
      <c r="C7">
        <v>1</v>
      </c>
      <c r="D7">
        <v>1</v>
      </c>
    </row>
    <row r="8" spans="2:5" ht="14.25" x14ac:dyDescent="0.2">
      <c r="B8" t="s">
        <v>102</v>
      </c>
      <c r="C8">
        <v>1</v>
      </c>
      <c r="D8">
        <v>1</v>
      </c>
    </row>
    <row r="9" spans="2:5" ht="14.25" x14ac:dyDescent="0.2">
      <c r="B9" t="s">
        <v>103</v>
      </c>
      <c r="C9">
        <v>1</v>
      </c>
      <c r="D9">
        <v>1</v>
      </c>
    </row>
    <row r="10" spans="2:5" ht="14.25" x14ac:dyDescent="0.2">
      <c r="B10" t="s">
        <v>104</v>
      </c>
      <c r="C10">
        <v>5</v>
      </c>
      <c r="D10">
        <v>5</v>
      </c>
    </row>
    <row r="11" spans="2:5" ht="14.25" x14ac:dyDescent="0.2">
      <c r="B11" t="s">
        <v>105</v>
      </c>
      <c r="C11">
        <v>1</v>
      </c>
      <c r="D11">
        <v>1</v>
      </c>
    </row>
    <row r="12" spans="2:5" ht="14.25" x14ac:dyDescent="0.2">
      <c r="B12" t="s">
        <v>106</v>
      </c>
      <c r="C12">
        <v>1</v>
      </c>
      <c r="D12">
        <v>1</v>
      </c>
    </row>
    <row r="13" spans="2:5" ht="14.25" x14ac:dyDescent="0.2">
      <c r="B13" t="s">
        <v>107</v>
      </c>
      <c r="C13">
        <v>1</v>
      </c>
      <c r="D13">
        <v>1</v>
      </c>
    </row>
    <row r="14" spans="2:5" ht="14.25" x14ac:dyDescent="0.2">
      <c r="B14" t="s">
        <v>108</v>
      </c>
      <c r="C14">
        <v>1</v>
      </c>
      <c r="D14">
        <v>1</v>
      </c>
    </row>
    <row r="15" spans="2:5" ht="14.25" x14ac:dyDescent="0.2">
      <c r="B15" t="s">
        <v>109</v>
      </c>
      <c r="C15">
        <v>1</v>
      </c>
      <c r="D15">
        <v>1</v>
      </c>
    </row>
    <row r="16" spans="2:5" ht="14.25" x14ac:dyDescent="0.2">
      <c r="B16" t="s">
        <v>110</v>
      </c>
      <c r="C16">
        <v>1</v>
      </c>
      <c r="D16">
        <v>1</v>
      </c>
    </row>
    <row r="17" spans="2:4" ht="14.25" x14ac:dyDescent="0.2">
      <c r="B17" t="s">
        <v>111</v>
      </c>
      <c r="C17">
        <v>1</v>
      </c>
      <c r="D17">
        <v>1</v>
      </c>
    </row>
    <row r="18" spans="2:4" ht="14.25" x14ac:dyDescent="0.2">
      <c r="B18" t="s">
        <v>112</v>
      </c>
      <c r="C18">
        <v>1</v>
      </c>
      <c r="D18">
        <v>1</v>
      </c>
    </row>
    <row r="19" spans="2:4" ht="14.25" x14ac:dyDescent="0.2">
      <c r="B19" t="s">
        <v>113</v>
      </c>
      <c r="C19">
        <v>1</v>
      </c>
      <c r="D19">
        <v>1</v>
      </c>
    </row>
    <row r="20" spans="2:4" ht="14.25" x14ac:dyDescent="0.2">
      <c r="B20" t="s">
        <v>114</v>
      </c>
      <c r="C20">
        <v>1</v>
      </c>
      <c r="D20">
        <v>1</v>
      </c>
    </row>
    <row r="21" spans="2:4" ht="14.25" x14ac:dyDescent="0.2">
      <c r="B21" t="s">
        <v>115</v>
      </c>
      <c r="C21">
        <v>1</v>
      </c>
      <c r="D21">
        <v>1</v>
      </c>
    </row>
    <row r="22" spans="2:4" ht="14.25" x14ac:dyDescent="0.2">
      <c r="B22" t="s">
        <v>116</v>
      </c>
      <c r="C22">
        <v>1</v>
      </c>
      <c r="D22">
        <v>1</v>
      </c>
    </row>
    <row r="23" spans="2:4" ht="14.25" x14ac:dyDescent="0.2">
      <c r="B23" t="s">
        <v>117</v>
      </c>
      <c r="C23">
        <v>1</v>
      </c>
      <c r="D23">
        <v>1</v>
      </c>
    </row>
    <row r="24" spans="2:4" ht="14.25" x14ac:dyDescent="0.2">
      <c r="B24" t="s">
        <v>118</v>
      </c>
      <c r="C24">
        <v>1</v>
      </c>
      <c r="D24">
        <v>1</v>
      </c>
    </row>
    <row r="25" spans="2:4" ht="14.25" x14ac:dyDescent="0.2">
      <c r="B25" t="s">
        <v>119</v>
      </c>
      <c r="C25">
        <v>1</v>
      </c>
      <c r="D25">
        <v>1</v>
      </c>
    </row>
    <row r="26" spans="2:4" ht="14.25" x14ac:dyDescent="0.2">
      <c r="B26" t="s">
        <v>120</v>
      </c>
      <c r="C26">
        <v>1</v>
      </c>
      <c r="D26">
        <v>1</v>
      </c>
    </row>
    <row r="27" spans="2:4" ht="14.25" x14ac:dyDescent="0.2">
      <c r="B27" t="s">
        <v>121</v>
      </c>
      <c r="C27">
        <v>1</v>
      </c>
      <c r="D27">
        <v>1</v>
      </c>
    </row>
    <row r="28" spans="2:4" ht="14.25" x14ac:dyDescent="0.2">
      <c r="B28" t="s">
        <v>122</v>
      </c>
      <c r="C28">
        <v>1</v>
      </c>
      <c r="D28">
        <v>1</v>
      </c>
    </row>
    <row r="29" spans="2:4" ht="14.25" x14ac:dyDescent="0.2">
      <c r="B29" t="s">
        <v>123</v>
      </c>
      <c r="C29">
        <v>1</v>
      </c>
      <c r="D29">
        <v>1</v>
      </c>
    </row>
    <row r="30" spans="2:4" ht="14.25" x14ac:dyDescent="0.2">
      <c r="B30" t="s">
        <v>124</v>
      </c>
      <c r="C30">
        <v>1</v>
      </c>
      <c r="D30">
        <v>1</v>
      </c>
    </row>
    <row r="31" spans="2:4" ht="14.25" x14ac:dyDescent="0.2">
      <c r="B31" t="s">
        <v>125</v>
      </c>
      <c r="C31">
        <v>1</v>
      </c>
      <c r="D31">
        <v>1</v>
      </c>
    </row>
    <row r="32" spans="2:4" ht="14.25" x14ac:dyDescent="0.2">
      <c r="B32" t="s">
        <v>126</v>
      </c>
      <c r="C32">
        <v>1</v>
      </c>
      <c r="D32">
        <v>1</v>
      </c>
    </row>
    <row r="33" spans="2:5" ht="14.25" x14ac:dyDescent="0.2">
      <c r="B33" t="s">
        <v>127</v>
      </c>
      <c r="C33">
        <v>1</v>
      </c>
      <c r="D33">
        <v>1</v>
      </c>
    </row>
    <row r="34" spans="2:5" ht="14.25" x14ac:dyDescent="0.2">
      <c r="B34" t="s">
        <v>128</v>
      </c>
      <c r="C34">
        <v>1</v>
      </c>
      <c r="D34">
        <v>1</v>
      </c>
    </row>
    <row r="35" spans="2:5" ht="14.25" x14ac:dyDescent="0.2">
      <c r="B35" t="s">
        <v>129</v>
      </c>
      <c r="C35">
        <v>1</v>
      </c>
      <c r="D35">
        <v>1</v>
      </c>
    </row>
    <row r="36" spans="2:5" ht="14.25" x14ac:dyDescent="0.2">
      <c r="B36" t="s">
        <v>130</v>
      </c>
      <c r="C36">
        <v>1</v>
      </c>
      <c r="D36">
        <v>1</v>
      </c>
    </row>
    <row r="37" spans="2:5" ht="14.25" x14ac:dyDescent="0.2">
      <c r="B37" t="s">
        <v>131</v>
      </c>
      <c r="C37">
        <v>5</v>
      </c>
      <c r="D37">
        <v>5</v>
      </c>
    </row>
    <row r="38" spans="2:5" ht="14.25" x14ac:dyDescent="0.2">
      <c r="B38" t="s">
        <v>132</v>
      </c>
      <c r="C38">
        <v>5</v>
      </c>
      <c r="D38">
        <v>5</v>
      </c>
    </row>
    <row r="39" spans="2:5" ht="14.25" x14ac:dyDescent="0.2">
      <c r="B39" t="s">
        <v>133</v>
      </c>
      <c r="C39">
        <v>5</v>
      </c>
      <c r="D39">
        <v>5</v>
      </c>
    </row>
    <row r="40" spans="2:5" ht="14.25" x14ac:dyDescent="0.2">
      <c r="B40" t="s">
        <v>134</v>
      </c>
      <c r="C40">
        <v>5</v>
      </c>
      <c r="D40">
        <v>5</v>
      </c>
    </row>
    <row r="41" spans="2:5" ht="14.25" x14ac:dyDescent="0.2">
      <c r="B41" s="74" t="s">
        <v>135</v>
      </c>
      <c r="C41" s="74">
        <v>61</v>
      </c>
      <c r="D41" s="74">
        <v>61</v>
      </c>
      <c r="E41" s="74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Model1</vt:lpstr>
      <vt:lpstr>Model2</vt:lpstr>
      <vt:lpstr>Model3</vt:lpstr>
      <vt:lpstr>Student Score Report</vt:lpstr>
      <vt:lpstr>rngAllOutput</vt:lpstr>
      <vt:lpstr>rngHorizon</vt:lpstr>
      <vt:lpstr>rngOutput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 Brobst</dc:creator>
  <cp:lastModifiedBy>Max Osten</cp:lastModifiedBy>
  <dcterms:created xsi:type="dcterms:W3CDTF">2020-11-06T14:31:42Z</dcterms:created>
  <dcterms:modified xsi:type="dcterms:W3CDTF">2022-12-18T04:04:29Z</dcterms:modified>
</cp:coreProperties>
</file>